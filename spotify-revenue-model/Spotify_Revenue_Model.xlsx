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aw Data" sheetId="2" state="visible" r:id="rId4"/>
    <sheet name="Assumptions" sheetId="3" state="visible" r:id="rId5"/>
    <sheet name="Income Statement" sheetId="4" state="visible" r:id="rId6"/>
    <sheet name="Scenario Analysis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<sst xmlns="http://schemas.openxmlformats.org/spreadsheetml/2006/main" count="199" uniqueCount="127">
  <si>
    <t xml:space="preserve">SPOTIFY TECHNOLOGY S.A.</t>
  </si>
  <si>
    <t xml:space="preserve">Driver-Based Revenue Forecast Model  |  FY2021A – FY2027E</t>
  </si>
  <si>
    <t xml:space="preserve">Prepared by:</t>
  </si>
  <si>
    <t xml:space="preserve">Alex Strong — Economist &amp; Quantitative Analyst</t>
  </si>
  <si>
    <t xml:space="preserve">Data Sources:</t>
  </si>
  <si>
    <t xml:space="preserve">Spotify Investor Relations (Annual Reports, Shareholder Letters)</t>
  </si>
  <si>
    <t xml:space="preserve">Model Purpose:</t>
  </si>
  <si>
    <t xml:space="preserve">Bottom-up driver forecast of Premium &amp; Ad-Supported revenue</t>
  </si>
  <si>
    <t xml:space="preserve">Scenarios:</t>
  </si>
  <si>
    <t xml:space="preserve">Base / Bull / Bear — toggle on Assumptions sheet</t>
  </si>
  <si>
    <t xml:space="preserve">Last Updated:</t>
  </si>
  <si>
    <t xml:space="preserve">May 2026</t>
  </si>
  <si>
    <t xml:space="preserve">Model Navigation</t>
  </si>
  <si>
    <t xml:space="preserve">Assumptions</t>
  </si>
  <si>
    <t xml:space="preserve">Key drivers: MAU growth, conversion, ARPU, ad load — edit blue cells</t>
  </si>
  <si>
    <t xml:space="preserve">Income Statement</t>
  </si>
  <si>
    <t xml:space="preserve">Revenue build + P&amp;L summary linking to Assumptions</t>
  </si>
  <si>
    <t xml:space="preserve">Scenario Analysis</t>
  </si>
  <si>
    <t xml:space="preserve">Side-by-side Bear / Base / Bull outputs with sensitivity tables</t>
  </si>
  <si>
    <t xml:space="preserve">Charts</t>
  </si>
  <si>
    <t xml:space="preserve">Visual dashboard: revenue mix, MAU growth, ARPU trends</t>
  </si>
  <si>
    <t xml:space="preserve">Raw Data</t>
  </si>
  <si>
    <t xml:space="preserve">Historical actuals sourced from Spotify annual reports</t>
  </si>
  <si>
    <t xml:space="preserve">Disclaimer: This model is an independent analytical exercise for portfolio demonstration purposes only. It is not investment advice. All forecasts are the author's own estimates based on publicly available data.</t>
  </si>
  <si>
    <t xml:space="preserve">Spotify — Historical Actuals</t>
  </si>
  <si>
    <t xml:space="preserve">Metric</t>
  </si>
  <si>
    <t xml:space="preserve">Unit</t>
  </si>
  <si>
    <t xml:space="preserve">Source</t>
  </si>
  <si>
    <t xml:space="preserve">2021A</t>
  </si>
  <si>
    <t xml:space="preserve">2022A</t>
  </si>
  <si>
    <t xml:space="preserve">2023A</t>
  </si>
  <si>
    <t xml:space="preserve">2024A</t>
  </si>
  <si>
    <t xml:space="preserve">Monthly Active Users (MAU)</t>
  </si>
  <si>
    <t xml:space="preserve">MM users</t>
  </si>
  <si>
    <t xml:space="preserve">Spotify Q4 Shareholder Letter, respective years</t>
  </si>
  <si>
    <t xml:space="preserve">Premium Subscribers</t>
  </si>
  <si>
    <t xml:space="preserve">Premium Conversion Rate (Sub/MAU)</t>
  </si>
  <si>
    <t xml:space="preserve">%</t>
  </si>
  <si>
    <t xml:space="preserve">Calculated: Premium Subs / MAU</t>
  </si>
  <si>
    <t xml:space="preserve">Premium ARPU (monthly)</t>
  </si>
  <si>
    <t xml:space="preserve">EUR</t>
  </si>
  <si>
    <t xml:space="preserve">Premium Revenue</t>
  </si>
  <si>
    <t xml:space="preserve">EUR MM</t>
  </si>
  <si>
    <t xml:space="preserve">Spotify Annual Report, respective years</t>
  </si>
  <si>
    <t xml:space="preserve">Ad-Supported MAU</t>
  </si>
  <si>
    <t xml:space="preserve">Calculated: Total MAU - Premium Subs</t>
  </si>
  <si>
    <t xml:space="preserve">Ad Revenue per MAU (annual)</t>
  </si>
  <si>
    <t xml:space="preserve">Calculated: Ad Rev / Ad MAU</t>
  </si>
  <si>
    <t xml:space="preserve">Ad-Supported Revenue</t>
  </si>
  <si>
    <t xml:space="preserve">Total Revenue</t>
  </si>
  <si>
    <t xml:space="preserve">Gross Profit</t>
  </si>
  <si>
    <t xml:space="preserve">Gross Margin</t>
  </si>
  <si>
    <t xml:space="preserve">Calculated</t>
  </si>
  <si>
    <t xml:space="preserve">R&amp;D Expense</t>
  </si>
  <si>
    <t xml:space="preserve">S&amp;M Expense</t>
  </si>
  <si>
    <t xml:space="preserve">G&amp;A Expense</t>
  </si>
  <si>
    <t xml:space="preserve">Operating Income (Loss)</t>
  </si>
  <si>
    <t xml:space="preserve">Operating Margin</t>
  </si>
  <si>
    <t xml:space="preserve">Assumptions — Edit Blue Cells</t>
  </si>
  <si>
    <t xml:space="preserve">Blue cells = inputs you can change.  Switch scenario in B4 to auto-populate.  Override individual cells by typing directly.</t>
  </si>
  <si>
    <t xml:space="preserve">Active Scenario</t>
  </si>
  <si>
    <t xml:space="preserve">Base</t>
  </si>
  <si>
    <t xml:space="preserve">← Type: Base | Bull | Bear</t>
  </si>
  <si>
    <t xml:space="preserve">Driver</t>
  </si>
  <si>
    <t xml:space="preserve">2025E</t>
  </si>
  <si>
    <t xml:space="preserve">2026E</t>
  </si>
  <si>
    <t xml:space="preserve">2027E</t>
  </si>
  <si>
    <t xml:space="preserve">MAU &amp; SUBSCRIBER GROWTH</t>
  </si>
  <si>
    <t xml:space="preserve">MAU YoY Growth Rate</t>
  </si>
  <si>
    <t xml:space="preserve">Premium Conversion Rate</t>
  </si>
  <si>
    <t xml:space="preserve">PREMIUM REVENUE DRIVERS</t>
  </si>
  <si>
    <t xml:space="preserve">Premium Monthly ARPU (EUR)</t>
  </si>
  <si>
    <t xml:space="preserve">Premium ARPU YoY Growth</t>
  </si>
  <si>
    <t xml:space="preserve">See ARPU row</t>
  </si>
  <si>
    <t xml:space="preserve">AD-SUPPORTED REVENUE DRIVERS</t>
  </si>
  <si>
    <t xml:space="preserve">Ad Revenue per Ad MAU (EUR/yr)</t>
  </si>
  <si>
    <t xml:space="preserve">Ad Load Growth YoY</t>
  </si>
  <si>
    <t xml:space="preserve">MARGIN ASSUMPTIONS</t>
  </si>
  <si>
    <t xml:space="preserve">R&amp;D as % of Revenue</t>
  </si>
  <si>
    <t xml:space="preserve">S&amp;M as % of Revenue</t>
  </si>
  <si>
    <t xml:space="preserve">G&amp;A as % of Revenue</t>
  </si>
  <si>
    <t xml:space="preserve">Spotify — Revenue Build &amp; P&amp;L Summary  (EUR Millions)</t>
  </si>
  <si>
    <t xml:space="preserve">Line Item</t>
  </si>
  <si>
    <t xml:space="preserve">USER METRICS</t>
  </si>
  <si>
    <t xml:space="preserve">Monthly Active Users (MM)</t>
  </si>
  <si>
    <t xml:space="preserve">Premium Subscribers (MM)</t>
  </si>
  <si>
    <t xml:space="preserve">Ad-Supported MAU (MM)</t>
  </si>
  <si>
    <t xml:space="preserve">PREMIUM REVENUE BUILD</t>
  </si>
  <si>
    <t xml:space="preserve">Monthly ARPU (EUR)</t>
  </si>
  <si>
    <t xml:space="preserve">Premium Revenue (EUR MM)</t>
  </si>
  <si>
    <t xml:space="preserve">AD-SUPPORTED REVENUE BUILD</t>
  </si>
  <si>
    <t xml:space="preserve">Ad-Supported Revenue (EUR MM)</t>
  </si>
  <si>
    <t xml:space="preserve">TOTAL REVENUE &amp; P&amp;L SUMMARY</t>
  </si>
  <si>
    <t xml:space="preserve">Total Revenue (EUR MM)</t>
  </si>
  <si>
    <t xml:space="preserve">YoY Revenue Growth</t>
  </si>
  <si>
    <t xml:space="preserve">-</t>
  </si>
  <si>
    <t xml:space="preserve">Premium Revenue Mix</t>
  </si>
  <si>
    <t xml:space="preserve">Ad-Supported Revenue Mix</t>
  </si>
  <si>
    <t xml:space="preserve">Gross Profit (EUR MM)</t>
  </si>
  <si>
    <t xml:space="preserve">R&amp;D Expense (EUR MM)</t>
  </si>
  <si>
    <t xml:space="preserve">S&amp;M Expense (EUR MM)</t>
  </si>
  <si>
    <t xml:space="preserve">G&amp;A Expense (EUR MM)</t>
  </si>
  <si>
    <t xml:space="preserve">Operating Income (EUR MM)</t>
  </si>
  <si>
    <t xml:space="preserve">Scenario Analysis — Bear / Base / Bull</t>
  </si>
  <si>
    <t xml:space="preserve">This sheet hard-codes each scenario's key outputs for side-by-side comparison. Change the active scenario on the Assumptions sheet to update the Income Statement live.</t>
  </si>
  <si>
    <t xml:space="preserve">Bear 2025E</t>
  </si>
  <si>
    <t xml:space="preserve">Bear 2026E</t>
  </si>
  <si>
    <t xml:space="preserve">Bear 2027E</t>
  </si>
  <si>
    <t xml:space="preserve">Base 2025E</t>
  </si>
  <si>
    <t xml:space="preserve">Base 2026E</t>
  </si>
  <si>
    <t xml:space="preserve">Base 2027E</t>
  </si>
  <si>
    <t xml:space="preserve">Bull 2025E</t>
  </si>
  <si>
    <t xml:space="preserve">Bull 2026E</t>
  </si>
  <si>
    <t xml:space="preserve">Bull 2027E</t>
  </si>
  <si>
    <t xml:space="preserve">MAU (MM)</t>
  </si>
  <si>
    <t xml:space="preserve">Ad-Supported Revenue (MM)</t>
  </si>
  <si>
    <t xml:space="preserve">Revenue YoY Growth</t>
  </si>
  <si>
    <t xml:space="preserve">SENSITIVITY TABLE — 2027E Operating Income (EUR MM)</t>
  </si>
  <si>
    <t xml:space="preserve">Rows = 2027E Gross Margin Assumption  |  Columns = 2027E MAU Growth Rate</t>
  </si>
  <si>
    <t xml:space="preserve">GM \ MAU Growth →</t>
  </si>
  <si>
    <t xml:space="preserve">Spotify — Visual Dashboard Data</t>
  </si>
  <si>
    <t xml:space="preserve">Charts below pull from the Income Statement. Switch scenarios on the Assumptions sheet to see them update.</t>
  </si>
  <si>
    <t xml:space="preserve">Year</t>
  </si>
  <si>
    <t xml:space="preserve">Ad Revenue</t>
  </si>
  <si>
    <t xml:space="preserve">Total MAU (MM)</t>
  </si>
  <si>
    <t xml:space="preserve">Premium Subs (MM)</t>
  </si>
  <si>
    <t xml:space="preserve">Conversion Rate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</si>
</sst>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;\(0.0%\);\-"/>
    <numFmt numFmtId="167" formatCode="#,##0.00;\(#,##0.00\);\-"/>
    <numFmt numFmtId="168" formatCode="#,##0;\(#,##0\);\-"/>
    <numFmt numFmtId="169" formatCode="\€#,##0.00;&quot;(€&quot;#,##0.0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4"/>
      <color rgb="FF1DB95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DB954"/>
      <name val="Arial"/>
      <family val="0"/>
      <charset val="1"/>
    </font>
    <font>
      <b val="true"/>
      <sz val="10"/>
      <color rgb="FF1DB954"/>
      <name val="Arial"/>
      <family val="0"/>
      <charset val="1"/>
    </font>
    <font>
      <i val="true"/>
      <sz val="8"/>
      <color rgb="FF53535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3535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53535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DB954"/>
        <bgColor rgb="FF33CCCC"/>
      </patternFill>
    </fill>
    <fill>
      <patternFill patternType="solid">
        <fgColor rgb="FFFFFFFF"/>
        <bgColor rgb="FFF9F9F9"/>
      </patternFill>
    </fill>
    <fill>
      <patternFill patternType="solid">
        <fgColor rgb="FF53535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F8EF"/>
        <bgColor rgb="FFF2F2F2"/>
      </patternFill>
    </fill>
    <fill>
      <patternFill patternType="solid">
        <fgColor rgb="FF191414"/>
        <bgColor rgb="FF000000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FADBD8"/>
        <bgColor rgb="FFD9D9D9"/>
      </patternFill>
    </fill>
    <fill>
      <patternFill patternType="solid">
        <fgColor rgb="FFD6EAF8"/>
        <bgColor rgb="FFE8F8EF"/>
      </patternFill>
    </fill>
    <fill>
      <patternFill patternType="solid">
        <fgColor rgb="FFF2F2F2"/>
        <bgColor rgb="FFF9F9F9"/>
      </patternFill>
    </fill>
    <fill>
      <patternFill patternType="solid">
        <fgColor rgb="FFA9DFBF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DB95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A9DFBF"/>
      <rgbColor rgb="FF878787"/>
      <rgbColor rgb="FF9999FF"/>
      <rgbColor rgb="FF993366"/>
      <rgbColor rgb="FFF9F9F9"/>
      <rgbColor rgb="FFE8F8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F2F2F2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35353"/>
      <rgbColor rgb="FF969696"/>
      <rgbColor rgb="FF003366"/>
      <rgbColor rgb="FF1DB954"/>
      <rgbColor rgb="FF191414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Spotify Revenue by Type (EUR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Premium Revenue</c:v>
                </c:pt>
              </c:strCache>
            </c:strRef>
          </c:tx>
          <c:spPr>
            <a:solidFill>
              <a:srgbClr val="1db95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Charts!$A$5:$A$11</c:f>
              <c:strCache>
                <c:ptCount val="7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Charts!$B$5:$B$11</c:f>
              <c:numCache>
                <c:formatCode>#,##0;\(#,##0\);\-</c:formatCode>
                <c:ptCount val="7"/>
                <c:pt idx="0">
                  <c:v>7135</c:v>
                </c:pt>
                <c:pt idx="1">
                  <c:v>8463</c:v>
                </c:pt>
                <c:pt idx="2">
                  <c:v>11566</c:v>
                </c:pt>
                <c:pt idx="3">
                  <c:v>13573</c:v>
                </c:pt>
                <c:pt idx="4">
                  <c:v>14511.3696</c:v>
                </c:pt>
                <c:pt idx="5">
                  <c:v>16554.835836</c:v>
                </c:pt>
                <c:pt idx="6">
                  <c:v>18845.424936</c:v>
                </c:pt>
              </c:numCache>
            </c:numRef>
          </c:val>
        </c:ser>
        <c:ser>
          <c:idx val="1"/>
          <c:order val="1"/>
          <c:tx>
            <c:strRef>
              <c:f>Charts!C4</c:f>
              <c:strCache>
                <c:ptCount val="1"/>
                <c:pt idx="0">
                  <c:v>Ad Revenue</c:v>
                </c:pt>
              </c:strCache>
            </c:strRef>
          </c:tx>
          <c:spPr>
            <a:solidFill>
              <a:srgbClr val="1db95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Charts!$A$5:$A$11</c:f>
              <c:strCache>
                <c:ptCount val="7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Charts!$C$5:$C$11</c:f>
              <c:numCache>
                <c:formatCode>#,##0;\(#,##0\);\-</c:formatCode>
                <c:ptCount val="7"/>
                <c:pt idx="0">
                  <c:v>1208</c:v>
                </c:pt>
                <c:pt idx="1">
                  <c:v>1472</c:v>
                </c:pt>
                <c:pt idx="2">
                  <c:v>1679</c:v>
                </c:pt>
                <c:pt idx="3">
                  <c:v>1922</c:v>
                </c:pt>
                <c:pt idx="4">
                  <c:v>1568.6208</c:v>
                </c:pt>
                <c:pt idx="5">
                  <c:v>1798.074645</c:v>
                </c:pt>
                <c:pt idx="6">
                  <c:v>2031.981212625</c:v>
                </c:pt>
              </c:numCache>
            </c:numRef>
          </c:val>
        </c:ser>
        <c:gapWidth val="150"/>
        <c:overlap val="100"/>
        <c:axId val="5636542"/>
        <c:axId val="1066269"/>
      </c:barChart>
      <c:catAx>
        <c:axId val="5636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6269"/>
        <c:crosses val="autoZero"/>
        <c:auto val="1"/>
        <c:lblAlgn val="ctr"/>
        <c:lblOffset val="100"/>
        <c:noMultiLvlLbl val="0"/>
      </c:catAx>
      <c:valAx>
        <c:axId val="1066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6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MAU &amp; Premium Subscribers Trajectory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Charts!B15</c:f>
              <c:strCache>
                <c:ptCount val="1"/>
                <c:pt idx="0">
                  <c:v>Total MAU (MM)</c:v>
                </c:pt>
              </c:strCache>
            </c:strRef>
          </c:tx>
          <c:spPr>
            <a:solidFill>
              <a:srgbClr val="1db954"/>
            </a:solidFill>
            <a:ln w="24840">
              <a:solidFill>
                <a:srgbClr val="1db95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Charts!$A$16:$A$22</c:f>
              <c:strCache>
                <c:ptCount val="7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Charts!$B$16:$B$22</c:f>
              <c:numCache>
                <c:formatCode>#,##0;\(#,##0\);\-</c:formatCode>
                <c:ptCount val="7"/>
                <c:pt idx="0">
                  <c:v>406</c:v>
                </c:pt>
                <c:pt idx="1">
                  <c:v>456</c:v>
                </c:pt>
                <c:pt idx="2">
                  <c:v>602</c:v>
                </c:pt>
                <c:pt idx="3">
                  <c:v>678</c:v>
                </c:pt>
                <c:pt idx="4">
                  <c:v>755.97</c:v>
                </c:pt>
                <c:pt idx="5">
                  <c:v>835.34685</c:v>
                </c:pt>
                <c:pt idx="6">
                  <c:v>914.70480075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Charts!C15</c:f>
              <c:strCache>
                <c:ptCount val="1"/>
                <c:pt idx="0">
                  <c:v>Premium Subs (MM)</c:v>
                </c:pt>
              </c:strCache>
            </c:strRef>
          </c:tx>
          <c:spPr>
            <a:solidFill>
              <a:srgbClr val="1db954"/>
            </a:solidFill>
            <a:ln w="24840">
              <a:solidFill>
                <a:srgbClr val="1db95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Charts!$A$16:$A$22</c:f>
              <c:strCache>
                <c:ptCount val="7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Charts!$C$16:$C$22</c:f>
              <c:numCache>
                <c:formatCode>#,##0;\(#,##0\);\-</c:formatCode>
                <c:ptCount val="7"/>
                <c:pt idx="0">
                  <c:v>180</c:v>
                </c:pt>
                <c:pt idx="1">
                  <c:v>205</c:v>
                </c:pt>
                <c:pt idx="2">
                  <c:v>236</c:v>
                </c:pt>
                <c:pt idx="3">
                  <c:v>263</c:v>
                </c:pt>
                <c:pt idx="4">
                  <c:v>265.776</c:v>
                </c:pt>
                <c:pt idx="5">
                  <c:v>298.60815</c:v>
                </c:pt>
                <c:pt idx="6">
                  <c:v>334.13874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278467"/>
        <c:axId val="85567052"/>
      </c:lineChart>
      <c:catAx>
        <c:axId val="49278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67052"/>
        <c:crosses val="autoZero"/>
        <c:auto val="1"/>
        <c:lblAlgn val="ctr"/>
        <c:lblOffset val="100"/>
        <c:noMultiLvlLbl val="0"/>
      </c:catAx>
      <c:valAx>
        <c:axId val="85567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Users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78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14</xdr:col>
      <xdr:colOff>476640</xdr:colOff>
      <xdr:row>25</xdr:row>
      <xdr:rowOff>113760</xdr:rowOff>
    </xdr:to>
    <xdr:graphicFrame>
      <xdr:nvGraphicFramePr>
        <xdr:cNvPr id="0" name="Chart 1"/>
        <xdr:cNvGraphicFramePr/>
      </xdr:nvGraphicFramePr>
      <xdr:xfrm>
        <a:off x="5216040" y="56664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13</xdr:row>
      <xdr:rowOff>175680</xdr:rowOff>
    </xdr:from>
    <xdr:to>
      <xdr:col>14</xdr:col>
      <xdr:colOff>476640</xdr:colOff>
      <xdr:row>36</xdr:row>
      <xdr:rowOff>113400</xdr:rowOff>
    </xdr:to>
    <xdr:graphicFrame>
      <xdr:nvGraphicFramePr>
        <xdr:cNvPr id="1" name="Chart 2"/>
        <xdr:cNvGraphicFramePr/>
      </xdr:nvGraphicFramePr>
      <xdr:xfrm>
        <a:off x="5216040" y="2661840"/>
        <a:ext cx="719928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30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2"/>
      <c r="B3" s="3" t="s">
        <v>0</v>
      </c>
      <c r="C3" s="2"/>
      <c r="D3" s="2"/>
      <c r="E3" s="2"/>
      <c r="F3" s="2"/>
      <c r="G3" s="2"/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8" hidden="false" customHeight="true" outlineLevel="0" collapsed="false">
      <c r="A5" s="2"/>
      <c r="B5" s="4" t="s">
        <v>1</v>
      </c>
      <c r="C5" s="2"/>
      <c r="D5" s="2"/>
      <c r="E5" s="2"/>
      <c r="F5" s="2"/>
      <c r="G5" s="2"/>
    </row>
    <row r="6" customFormat="false" ht="18" hidden="false" customHeight="true" outlineLevel="0" collapsed="false">
      <c r="A6" s="2"/>
      <c r="B6" s="5" t="s">
        <v>1</v>
      </c>
      <c r="C6" s="2"/>
      <c r="D6" s="2"/>
      <c r="E6" s="2"/>
      <c r="F6" s="2"/>
      <c r="G6" s="2"/>
    </row>
    <row r="7" customFormat="false" ht="18" hidden="false" customHeight="true" outlineLevel="0" collapsed="false">
      <c r="A7" s="2"/>
      <c r="B7" s="2"/>
      <c r="C7" s="2"/>
      <c r="D7" s="2"/>
      <c r="E7" s="2"/>
      <c r="F7" s="2"/>
      <c r="G7" s="2"/>
    </row>
    <row r="8" customFormat="false" ht="18" hidden="false" customHeight="true" outlineLevel="0" collapsed="false">
      <c r="A8" s="2"/>
      <c r="B8" s="2"/>
      <c r="C8" s="2"/>
      <c r="D8" s="2"/>
      <c r="E8" s="2"/>
      <c r="F8" s="2"/>
      <c r="G8" s="2"/>
    </row>
    <row r="9" customFormat="false" ht="18" hidden="false" customHeight="true" outlineLevel="0" collapsed="false">
      <c r="A9" s="2"/>
      <c r="B9" s="2"/>
      <c r="C9" s="2"/>
      <c r="D9" s="2"/>
      <c r="E9" s="2"/>
      <c r="F9" s="2"/>
      <c r="G9" s="2"/>
    </row>
    <row r="10" customFormat="false" ht="18" hidden="false" customHeight="true" outlineLevel="0" collapsed="false"/>
    <row r="11" customFormat="false" ht="18" hidden="false" customHeight="true" outlineLevel="0" collapsed="false"/>
    <row r="12" customFormat="false" ht="18" hidden="false" customHeight="true" outlineLevel="0" collapsed="false">
      <c r="B12" s="6" t="s">
        <v>2</v>
      </c>
      <c r="C12" s="7" t="s">
        <v>3</v>
      </c>
    </row>
    <row r="13" customFormat="false" ht="18" hidden="false" customHeight="true" outlineLevel="0" collapsed="false"/>
    <row r="14" customFormat="false" ht="18" hidden="false" customHeight="true" outlineLevel="0" collapsed="false">
      <c r="B14" s="6" t="s">
        <v>4</v>
      </c>
      <c r="C14" s="7" t="s">
        <v>5</v>
      </c>
    </row>
    <row r="15" customFormat="false" ht="18" hidden="false" customHeight="true" outlineLevel="0" collapsed="false"/>
    <row r="16" customFormat="false" ht="18" hidden="false" customHeight="true" outlineLevel="0" collapsed="false">
      <c r="B16" s="6" t="s">
        <v>6</v>
      </c>
      <c r="C16" s="7" t="s">
        <v>7</v>
      </c>
    </row>
    <row r="17" customFormat="false" ht="18" hidden="false" customHeight="true" outlineLevel="0" collapsed="false"/>
    <row r="18" customFormat="false" ht="18" hidden="false" customHeight="true" outlineLevel="0" collapsed="false">
      <c r="B18" s="6" t="s">
        <v>8</v>
      </c>
      <c r="C18" s="7" t="s">
        <v>9</v>
      </c>
    </row>
    <row r="19" customFormat="false" ht="18" hidden="false" customHeight="true" outlineLevel="0" collapsed="false"/>
    <row r="20" customFormat="false" ht="18" hidden="false" customHeight="true" outlineLevel="0" collapsed="false">
      <c r="B20" s="6" t="s">
        <v>10</v>
      </c>
      <c r="C20" s="7" t="s">
        <v>11</v>
      </c>
    </row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>
      <c r="B24" s="8" t="s">
        <v>12</v>
      </c>
    </row>
    <row r="25" customFormat="false" ht="18" hidden="false" customHeight="true" outlineLevel="0" collapsed="false"/>
    <row r="26" customFormat="false" ht="18" hidden="false" customHeight="true" outlineLevel="0" collapsed="false">
      <c r="B26" s="9" t="s">
        <v>13</v>
      </c>
      <c r="C26" s="7" t="s">
        <v>14</v>
      </c>
    </row>
    <row r="27" customFormat="false" ht="18" hidden="false" customHeight="true" outlineLevel="0" collapsed="false">
      <c r="B27" s="9" t="s">
        <v>15</v>
      </c>
      <c r="C27" s="7" t="s">
        <v>16</v>
      </c>
    </row>
    <row r="28" customFormat="false" ht="18" hidden="false" customHeight="true" outlineLevel="0" collapsed="false">
      <c r="B28" s="9" t="s">
        <v>17</v>
      </c>
      <c r="C28" s="7" t="s">
        <v>18</v>
      </c>
    </row>
    <row r="29" customFormat="false" ht="18" hidden="false" customHeight="true" outlineLevel="0" collapsed="false">
      <c r="B29" s="9" t="s">
        <v>19</v>
      </c>
      <c r="C29" s="7" t="s">
        <v>20</v>
      </c>
    </row>
    <row r="30" customFormat="false" ht="18" hidden="false" customHeight="true" outlineLevel="0" collapsed="false">
      <c r="B30" s="9" t="s">
        <v>21</v>
      </c>
      <c r="C30" s="7" t="s">
        <v>22</v>
      </c>
    </row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36" hidden="false" customHeight="true" outlineLevel="0" collapsed="false">
      <c r="B36" s="10" t="s">
        <v>23</v>
      </c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7" min="4" style="1" width="14"/>
  </cols>
  <sheetData>
    <row r="1" customFormat="false" ht="17.25" hidden="false" customHeight="true" outlineLevel="0" collapsed="false">
      <c r="A1" s="11" t="s">
        <v>24</v>
      </c>
      <c r="B1" s="11"/>
      <c r="C1" s="11"/>
      <c r="D1" s="11"/>
      <c r="E1" s="11"/>
      <c r="F1" s="11"/>
      <c r="G1" s="11"/>
    </row>
    <row r="3" customFormat="false" ht="15" hidden="false" customHeight="true" outlineLevel="0" collapsed="false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</row>
    <row r="5" customFormat="false" ht="15.75" hidden="false" customHeight="true" outlineLevel="0" collapsed="false">
      <c r="A5" s="7" t="s">
        <v>32</v>
      </c>
      <c r="B5" s="7" t="s">
        <v>33</v>
      </c>
      <c r="C5" s="13" t="s">
        <v>34</v>
      </c>
      <c r="D5" s="14" t="n">
        <v>406</v>
      </c>
      <c r="E5" s="14" t="n">
        <v>456</v>
      </c>
      <c r="F5" s="14" t="n">
        <v>602</v>
      </c>
      <c r="G5" s="14" t="n">
        <v>678</v>
      </c>
    </row>
    <row r="6" customFormat="false" ht="15.75" hidden="false" customHeight="true" outlineLevel="0" collapsed="false">
      <c r="A6" s="7" t="s">
        <v>35</v>
      </c>
      <c r="B6" s="7" t="s">
        <v>33</v>
      </c>
      <c r="C6" s="13" t="s">
        <v>34</v>
      </c>
      <c r="D6" s="14" t="n">
        <v>180</v>
      </c>
      <c r="E6" s="14" t="n">
        <v>205</v>
      </c>
      <c r="F6" s="14" t="n">
        <v>236</v>
      </c>
      <c r="G6" s="14" t="n">
        <v>263</v>
      </c>
    </row>
    <row r="7" customFormat="false" ht="15.75" hidden="false" customHeight="true" outlineLevel="0" collapsed="false">
      <c r="A7" s="7" t="s">
        <v>36</v>
      </c>
      <c r="B7" s="7" t="s">
        <v>37</v>
      </c>
      <c r="C7" s="13" t="s">
        <v>38</v>
      </c>
      <c r="D7" s="15" t="n">
        <f aca="false">D6/D5</f>
        <v>0.443349753694581</v>
      </c>
      <c r="E7" s="15" t="n">
        <f aca="false">E6/E5</f>
        <v>0.449561403508772</v>
      </c>
      <c r="F7" s="15" t="n">
        <f aca="false">F6/F5</f>
        <v>0.39202657807309</v>
      </c>
      <c r="G7" s="15" t="n">
        <f aca="false">G6/G5</f>
        <v>0.387905604719764</v>
      </c>
    </row>
    <row r="8" customFormat="false" ht="15.75" hidden="false" customHeight="true" outlineLevel="0" collapsed="false">
      <c r="A8" s="7" t="s">
        <v>39</v>
      </c>
      <c r="B8" s="7" t="s">
        <v>40</v>
      </c>
      <c r="C8" s="13" t="s">
        <v>34</v>
      </c>
      <c r="D8" s="16" t="n">
        <v>4.42</v>
      </c>
      <c r="E8" s="16" t="n">
        <v>4.35</v>
      </c>
      <c r="F8" s="16" t="n">
        <v>4.27</v>
      </c>
      <c r="G8" s="16" t="n">
        <v>4.5</v>
      </c>
    </row>
    <row r="9" customFormat="false" ht="15.75" hidden="false" customHeight="true" outlineLevel="0" collapsed="false">
      <c r="A9" s="7" t="s">
        <v>41</v>
      </c>
      <c r="B9" s="7" t="s">
        <v>42</v>
      </c>
      <c r="C9" s="13" t="s">
        <v>43</v>
      </c>
      <c r="D9" s="14" t="n">
        <v>7135</v>
      </c>
      <c r="E9" s="14" t="n">
        <v>8463</v>
      </c>
      <c r="F9" s="14" t="n">
        <v>11566</v>
      </c>
      <c r="G9" s="14" t="n">
        <v>13573</v>
      </c>
    </row>
    <row r="10" customFormat="false" ht="15.75" hidden="false" customHeight="true" outlineLevel="0" collapsed="false">
      <c r="A10" s="7" t="s">
        <v>44</v>
      </c>
      <c r="B10" s="7" t="s">
        <v>33</v>
      </c>
      <c r="C10" s="13" t="s">
        <v>45</v>
      </c>
      <c r="D10" s="17" t="n">
        <f aca="false">D5-D6</f>
        <v>226</v>
      </c>
      <c r="E10" s="17" t="n">
        <f aca="false">E5-E6</f>
        <v>251</v>
      </c>
      <c r="F10" s="17" t="n">
        <f aca="false">F5-F6</f>
        <v>366</v>
      </c>
      <c r="G10" s="17" t="n">
        <f aca="false">G5-G6</f>
        <v>415</v>
      </c>
    </row>
    <row r="11" customFormat="false" ht="15.75" hidden="false" customHeight="true" outlineLevel="0" collapsed="false">
      <c r="A11" s="7" t="s">
        <v>46</v>
      </c>
      <c r="B11" s="7" t="s">
        <v>40</v>
      </c>
      <c r="C11" s="13" t="s">
        <v>47</v>
      </c>
      <c r="D11" s="18" t="n">
        <f aca="false">D12/D10</f>
        <v>5.34513274336283</v>
      </c>
      <c r="E11" s="18" t="n">
        <f aca="false">E12/E10</f>
        <v>5.86454183266932</v>
      </c>
      <c r="F11" s="18" t="n">
        <f aca="false">F12/F10</f>
        <v>4.58743169398907</v>
      </c>
      <c r="G11" s="18" t="n">
        <f aca="false">G12/G10</f>
        <v>4.63132530120482</v>
      </c>
    </row>
    <row r="12" customFormat="false" ht="15.75" hidden="false" customHeight="true" outlineLevel="0" collapsed="false">
      <c r="A12" s="7" t="s">
        <v>48</v>
      </c>
      <c r="B12" s="7" t="s">
        <v>42</v>
      </c>
      <c r="C12" s="13" t="s">
        <v>43</v>
      </c>
      <c r="D12" s="14" t="n">
        <v>1208</v>
      </c>
      <c r="E12" s="14" t="n">
        <v>1472</v>
      </c>
      <c r="F12" s="14" t="n">
        <v>1679</v>
      </c>
      <c r="G12" s="14" t="n">
        <v>1922</v>
      </c>
    </row>
    <row r="13" customFormat="false" ht="15.75" hidden="false" customHeight="true" outlineLevel="0" collapsed="false">
      <c r="A13" s="7" t="s">
        <v>49</v>
      </c>
      <c r="B13" s="7" t="s">
        <v>42</v>
      </c>
      <c r="C13" s="13" t="s">
        <v>43</v>
      </c>
      <c r="D13" s="14" t="n">
        <v>9668</v>
      </c>
      <c r="E13" s="14" t="n">
        <v>11727</v>
      </c>
      <c r="F13" s="14" t="n">
        <v>13247</v>
      </c>
      <c r="G13" s="14" t="n">
        <v>15673</v>
      </c>
    </row>
    <row r="14" customFormat="false" ht="15.75" hidden="false" customHeight="true" outlineLevel="0" collapsed="false">
      <c r="A14" s="7" t="s">
        <v>50</v>
      </c>
      <c r="B14" s="7" t="s">
        <v>42</v>
      </c>
      <c r="C14" s="13" t="s">
        <v>43</v>
      </c>
      <c r="D14" s="14" t="n">
        <v>2336</v>
      </c>
      <c r="E14" s="14" t="n">
        <v>2699</v>
      </c>
      <c r="F14" s="14" t="n">
        <v>3038</v>
      </c>
      <c r="G14" s="14" t="n">
        <v>3781</v>
      </c>
    </row>
    <row r="15" customFormat="false" ht="15.75" hidden="false" customHeight="true" outlineLevel="0" collapsed="false">
      <c r="A15" s="7" t="s">
        <v>51</v>
      </c>
      <c r="B15" s="7" t="s">
        <v>37</v>
      </c>
      <c r="C15" s="13" t="s">
        <v>52</v>
      </c>
      <c r="D15" s="15" t="n">
        <f aca="false">D14/D13</f>
        <v>0.241621845262722</v>
      </c>
      <c r="E15" s="15" t="n">
        <f aca="false">E14/E13</f>
        <v>0.230152639208664</v>
      </c>
      <c r="F15" s="15" t="n">
        <f aca="false">F14/F13</f>
        <v>0.229334943760852</v>
      </c>
      <c r="G15" s="15" t="n">
        <f aca="false">G14/G13</f>
        <v>0.241242901805653</v>
      </c>
    </row>
    <row r="16" customFormat="false" ht="15.75" hidden="false" customHeight="true" outlineLevel="0" collapsed="false">
      <c r="A16" s="7" t="s">
        <v>53</v>
      </c>
      <c r="B16" s="7" t="s">
        <v>42</v>
      </c>
      <c r="C16" s="13" t="s">
        <v>43</v>
      </c>
      <c r="D16" s="14" t="n">
        <v>1208</v>
      </c>
      <c r="E16" s="14" t="n">
        <v>1471</v>
      </c>
      <c r="F16" s="14" t="n">
        <v>1490</v>
      </c>
      <c r="G16" s="14" t="n">
        <v>1622</v>
      </c>
    </row>
    <row r="17" customFormat="false" ht="15.75" hidden="false" customHeight="true" outlineLevel="0" collapsed="false">
      <c r="A17" s="7" t="s">
        <v>54</v>
      </c>
      <c r="B17" s="7" t="s">
        <v>42</v>
      </c>
      <c r="C17" s="13" t="s">
        <v>43</v>
      </c>
      <c r="D17" s="14" t="n">
        <v>1093</v>
      </c>
      <c r="E17" s="14" t="n">
        <v>1291</v>
      </c>
      <c r="F17" s="14" t="n">
        <v>1158</v>
      </c>
      <c r="G17" s="14" t="n">
        <v>1116</v>
      </c>
    </row>
    <row r="18" customFormat="false" ht="15.75" hidden="false" customHeight="true" outlineLevel="0" collapsed="false">
      <c r="A18" s="7" t="s">
        <v>55</v>
      </c>
      <c r="B18" s="7" t="s">
        <v>42</v>
      </c>
      <c r="C18" s="13" t="s">
        <v>43</v>
      </c>
      <c r="D18" s="14" t="n">
        <v>396</v>
      </c>
      <c r="E18" s="14" t="n">
        <v>577</v>
      </c>
      <c r="F18" s="14" t="n">
        <v>576</v>
      </c>
      <c r="G18" s="14" t="n">
        <v>546</v>
      </c>
    </row>
    <row r="19" customFormat="false" ht="15.75" hidden="false" customHeight="true" outlineLevel="0" collapsed="false">
      <c r="A19" s="7" t="s">
        <v>56</v>
      </c>
      <c r="B19" s="7" t="s">
        <v>42</v>
      </c>
      <c r="C19" s="13" t="s">
        <v>43</v>
      </c>
      <c r="D19" s="14" t="n">
        <v>-34</v>
      </c>
      <c r="E19" s="14" t="n">
        <v>-659</v>
      </c>
      <c r="F19" s="14" t="n">
        <v>-302</v>
      </c>
      <c r="G19" s="14" t="n">
        <v>1361</v>
      </c>
    </row>
    <row r="20" customFormat="false" ht="15.75" hidden="false" customHeight="true" outlineLevel="0" collapsed="false">
      <c r="A20" s="7" t="s">
        <v>57</v>
      </c>
      <c r="B20" s="7" t="s">
        <v>37</v>
      </c>
      <c r="C20" s="13" t="s">
        <v>52</v>
      </c>
      <c r="D20" s="15" t="n">
        <f aca="false">D19/D13</f>
        <v>-0.00351675630947456</v>
      </c>
      <c r="E20" s="15" t="n">
        <f aca="false">E19/E13</f>
        <v>-0.0561951053125266</v>
      </c>
      <c r="F20" s="15" t="n">
        <f aca="false">F19/F13</f>
        <v>-0.0227976145542387</v>
      </c>
      <c r="G20" s="15" t="n">
        <f aca="false">G19/G13</f>
        <v>0.0868372360109743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5" min="3" style="1" width="14"/>
  </cols>
  <sheetData>
    <row r="1" customFormat="false" ht="17.25" hidden="false" customHeight="true" outlineLevel="0" collapsed="false">
      <c r="A1" s="11" t="s">
        <v>58</v>
      </c>
      <c r="B1" s="11"/>
      <c r="C1" s="11"/>
      <c r="D1" s="11"/>
      <c r="E1" s="11"/>
    </row>
    <row r="2" customFormat="false" ht="15" hidden="false" customHeight="true" outlineLevel="0" collapsed="false">
      <c r="A2" s="19" t="s">
        <v>59</v>
      </c>
      <c r="B2" s="19"/>
      <c r="C2" s="19"/>
      <c r="D2" s="19"/>
      <c r="E2" s="19"/>
    </row>
    <row r="4" customFormat="false" ht="15" hidden="false" customHeight="true" outlineLevel="0" collapsed="false">
      <c r="A4" s="20" t="s">
        <v>60</v>
      </c>
      <c r="B4" s="21" t="s">
        <v>61</v>
      </c>
      <c r="C4" s="13" t="s">
        <v>62</v>
      </c>
    </row>
    <row r="6" customFormat="false" ht="15" hidden="false" customHeight="true" outlineLevel="0" collapsed="false">
      <c r="A6" s="22" t="s">
        <v>63</v>
      </c>
      <c r="B6" s="12" t="s">
        <v>26</v>
      </c>
      <c r="C6" s="12" t="s">
        <v>64</v>
      </c>
      <c r="D6" s="12" t="s">
        <v>65</v>
      </c>
      <c r="E6" s="12" t="s">
        <v>66</v>
      </c>
    </row>
    <row r="8" customFormat="false" ht="15" hidden="false" customHeight="true" outlineLevel="0" collapsed="false">
      <c r="A8" s="23" t="s">
        <v>67</v>
      </c>
      <c r="B8" s="23"/>
      <c r="C8" s="23"/>
      <c r="D8" s="23"/>
      <c r="E8" s="23"/>
    </row>
    <row r="9" customFormat="false" ht="15.75" hidden="false" customHeight="true" outlineLevel="0" collapsed="false">
      <c r="A9" s="7" t="s">
        <v>68</v>
      </c>
      <c r="B9" s="24" t="s">
        <v>37</v>
      </c>
      <c r="C9" s="25" t="n">
        <f aca="false">IF($B$4="Bull",0.14,IF($B$4="Bear",0.08,0.115))</f>
        <v>0.115</v>
      </c>
      <c r="D9" s="25" t="n">
        <f aca="false">IF($B$4="Bull",0.13,IF($B$4="Bear",0.07,0.105))</f>
        <v>0.105</v>
      </c>
      <c r="E9" s="25" t="n">
        <f aca="false">IF($B$4="Bull",0.12,IF($B$4="Bear",0.06,0.095))</f>
        <v>0.095</v>
      </c>
    </row>
    <row r="10" customFormat="false" ht="15.75" hidden="false" customHeight="true" outlineLevel="0" collapsed="false">
      <c r="A10" s="7" t="s">
        <v>69</v>
      </c>
      <c r="B10" s="24" t="s">
        <v>37</v>
      </c>
      <c r="C10" s="25" t="n">
        <f aca="false">IF($B$4="Bull",0.405,IF($B$4="Bear",0.375,0.392))</f>
        <v>0.392</v>
      </c>
      <c r="D10" s="25" t="n">
        <f aca="false">IF($B$4="Bull",0.415,IF($B$4="Bear",0.37,0.395))</f>
        <v>0.395</v>
      </c>
      <c r="E10" s="25" t="n">
        <f aca="false">IF($B$4="Bull",0.425,IF($B$4="Bear",0.365,0.4))</f>
        <v>0.4</v>
      </c>
    </row>
    <row r="12" customFormat="false" ht="15" hidden="false" customHeight="true" outlineLevel="0" collapsed="false">
      <c r="A12" s="23" t="s">
        <v>70</v>
      </c>
      <c r="B12" s="23"/>
      <c r="C12" s="23"/>
      <c r="D12" s="23"/>
      <c r="E12" s="23"/>
    </row>
    <row r="13" customFormat="false" ht="15.75" hidden="false" customHeight="true" outlineLevel="0" collapsed="false">
      <c r="A13" s="7" t="s">
        <v>71</v>
      </c>
      <c r="B13" s="24" t="s">
        <v>40</v>
      </c>
      <c r="C13" s="26" t="n">
        <f aca="false">IF($B$4="Bull",4.65,IF($B$4="Bear",4.4,4.55))</f>
        <v>4.55</v>
      </c>
      <c r="D13" s="26" t="n">
        <f aca="false">IF($B$4="Bull",4.8,IF($B$4="Bear",4.35,4.62))</f>
        <v>4.62</v>
      </c>
      <c r="E13" s="26" t="n">
        <f aca="false">IF($B$4="Bull",4.95,IF($B$4="Bear",4.3,4.7))</f>
        <v>4.7</v>
      </c>
    </row>
    <row r="14" customFormat="false" ht="15" hidden="false" customHeight="true" outlineLevel="0" collapsed="false">
      <c r="A14" s="7" t="s">
        <v>72</v>
      </c>
      <c r="B14" s="24" t="s">
        <v>37</v>
      </c>
      <c r="C14" s="13" t="s">
        <v>73</v>
      </c>
      <c r="D14" s="1" t="s">
        <v>73</v>
      </c>
      <c r="E14" s="1" t="s">
        <v>73</v>
      </c>
    </row>
    <row r="16" customFormat="false" ht="15" hidden="false" customHeight="true" outlineLevel="0" collapsed="false">
      <c r="A16" s="23" t="s">
        <v>74</v>
      </c>
      <c r="B16" s="23"/>
      <c r="C16" s="23"/>
      <c r="D16" s="23"/>
      <c r="E16" s="23"/>
    </row>
    <row r="17" customFormat="false" ht="15.75" hidden="false" customHeight="true" outlineLevel="0" collapsed="false">
      <c r="A17" s="7" t="s">
        <v>75</v>
      </c>
      <c r="B17" s="24" t="s">
        <v>40</v>
      </c>
      <c r="C17" s="26" t="n">
        <f aca="false">IF($B$4="Bull",3.5,IF($B$4="Bear",2.9,3.2))</f>
        <v>3.2</v>
      </c>
      <c r="D17" s="26" t="n">
        <f aca="false">IF($B$4="Bull",3.75,IF($B$4="Bear",2.95,3.35))</f>
        <v>3.35</v>
      </c>
      <c r="E17" s="26" t="n">
        <f aca="false">IF($B$4="Bull",4,IF($B$4="Bear",3,3.5))</f>
        <v>3.5</v>
      </c>
    </row>
    <row r="18" customFormat="false" ht="15.75" hidden="false" customHeight="true" outlineLevel="0" collapsed="false">
      <c r="A18" s="7" t="s">
        <v>76</v>
      </c>
      <c r="B18" s="24" t="s">
        <v>37</v>
      </c>
      <c r="C18" s="25" t="n">
        <f aca="false">IF($B$4="Bull",0.08,IF($B$4="Bear",0.03,0.05))</f>
        <v>0.05</v>
      </c>
      <c r="D18" s="25" t="n">
        <f aca="false">IF($B$4="Bull",0.09,IF($B$4="Bear",0.03,0.06))</f>
        <v>0.06</v>
      </c>
      <c r="E18" s="25" t="n">
        <f aca="false">IF($B$4="Bull",0.1,IF($B$4="Bear",0.04,0.07))</f>
        <v>0.07</v>
      </c>
    </row>
    <row r="20" customFormat="false" ht="15" hidden="false" customHeight="true" outlineLevel="0" collapsed="false">
      <c r="A20" s="23" t="s">
        <v>77</v>
      </c>
      <c r="B20" s="23"/>
      <c r="C20" s="23"/>
      <c r="D20" s="23"/>
      <c r="E20" s="23"/>
    </row>
    <row r="21" customFormat="false" ht="15.75" hidden="false" customHeight="true" outlineLevel="0" collapsed="false">
      <c r="A21" s="7" t="s">
        <v>51</v>
      </c>
      <c r="B21" s="24" t="s">
        <v>37</v>
      </c>
      <c r="C21" s="25" t="n">
        <f aca="false">IF($B$4="Bull",0.31,IF($B$4="Bear",0.265,0.285))</f>
        <v>0.285</v>
      </c>
      <c r="D21" s="25" t="n">
        <f aca="false">IF($B$4="Bull",0.33,IF($B$4="Bear",0.27,0.3))</f>
        <v>0.3</v>
      </c>
      <c r="E21" s="25" t="n">
        <f aca="false">IF($B$4="Bull",0.35,IF($B$4="Bear",0.275,0.315))</f>
        <v>0.315</v>
      </c>
    </row>
    <row r="22" customFormat="false" ht="15.75" hidden="false" customHeight="true" outlineLevel="0" collapsed="false">
      <c r="A22" s="7" t="s">
        <v>78</v>
      </c>
      <c r="B22" s="24" t="s">
        <v>37</v>
      </c>
      <c r="C22" s="25" t="n">
        <f aca="false">IF($B$4="Bull",0.1,IF($B$4="Bear",0.12,0.11))</f>
        <v>0.11</v>
      </c>
      <c r="D22" s="25" t="n">
        <f aca="false">IF($B$4="Bull",0.095,IF($B$4="Bear",0.118,0.105))</f>
        <v>0.105</v>
      </c>
      <c r="E22" s="25" t="n">
        <f aca="false">IF($B$4="Bull",0.09,IF($B$4="Bear",0.115,0.1))</f>
        <v>0.1</v>
      </c>
    </row>
    <row r="23" customFormat="false" ht="15.75" hidden="false" customHeight="true" outlineLevel="0" collapsed="false">
      <c r="A23" s="7" t="s">
        <v>79</v>
      </c>
      <c r="B23" s="24" t="s">
        <v>37</v>
      </c>
      <c r="C23" s="25" t="n">
        <f aca="false">IF($B$4="Bull",0.065,IF($B$4="Bear",0.085,0.075))</f>
        <v>0.075</v>
      </c>
      <c r="D23" s="25" t="n">
        <f aca="false">IF($B$4="Bull",0.06,IF($B$4="Bear",0.082,0.07))</f>
        <v>0.07</v>
      </c>
      <c r="E23" s="25" t="n">
        <f aca="false">IF($B$4="Bull",0.055,IF($B$4="Bear",0.08,0.065))</f>
        <v>0.065</v>
      </c>
    </row>
    <row r="24" customFormat="false" ht="15.75" hidden="false" customHeight="true" outlineLevel="0" collapsed="false">
      <c r="A24" s="7" t="s">
        <v>80</v>
      </c>
      <c r="B24" s="24" t="s">
        <v>37</v>
      </c>
      <c r="C24" s="25" t="n">
        <f aca="false">IF($B$4="Bull",0.033,IF($B$4="Bear",0.042,0.038))</f>
        <v>0.038</v>
      </c>
      <c r="D24" s="25" t="n">
        <f aca="false">IF($B$4="Bull",0.03,IF($B$4="Bear",0.04,0.035))</f>
        <v>0.035</v>
      </c>
      <c r="E24" s="25" t="n">
        <f aca="false">IF($B$4="Bull",0.028,IF($B$4="Bear",0.038,0.033))</f>
        <v>0.033</v>
      </c>
    </row>
  </sheetData>
  <mergeCells count="6">
    <mergeCell ref="A1:E1"/>
    <mergeCell ref="A2:E2"/>
    <mergeCell ref="A8:E8"/>
    <mergeCell ref="A12:E12"/>
    <mergeCell ref="A16:E16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4"/>
  </cols>
  <sheetData>
    <row r="1" customFormat="false" ht="15.75" hidden="false" customHeight="true" outlineLevel="0" collapsed="false">
      <c r="A1" s="27" t="s">
        <v>81</v>
      </c>
      <c r="B1" s="27"/>
      <c r="C1" s="27"/>
      <c r="D1" s="27"/>
      <c r="E1" s="27"/>
      <c r="F1" s="27"/>
      <c r="G1" s="27"/>
      <c r="H1" s="27"/>
    </row>
    <row r="3" customFormat="false" ht="15" hidden="false" customHeight="true" outlineLevel="0" collapsed="false">
      <c r="A3" s="22" t="s">
        <v>82</v>
      </c>
      <c r="B3" s="12" t="s">
        <v>28</v>
      </c>
      <c r="C3" s="12" t="s">
        <v>29</v>
      </c>
      <c r="D3" s="12" t="s">
        <v>30</v>
      </c>
      <c r="E3" s="12" t="s">
        <v>31</v>
      </c>
      <c r="F3" s="28" t="s">
        <v>64</v>
      </c>
      <c r="G3" s="28" t="s">
        <v>65</v>
      </c>
      <c r="H3" s="28" t="s">
        <v>66</v>
      </c>
    </row>
    <row r="5" customFormat="false" ht="15" hidden="false" customHeight="true" outlineLevel="0" collapsed="false">
      <c r="A5" s="23" t="s">
        <v>83</v>
      </c>
      <c r="B5" s="23"/>
      <c r="C5" s="23"/>
      <c r="D5" s="23"/>
      <c r="E5" s="23"/>
      <c r="F5" s="23"/>
      <c r="G5" s="23"/>
      <c r="H5" s="23"/>
    </row>
    <row r="6" customFormat="false" ht="15.75" hidden="false" customHeight="true" outlineLevel="0" collapsed="false">
      <c r="A6" s="29" t="s">
        <v>84</v>
      </c>
      <c r="B6" s="30" t="n">
        <f aca="false">'Raw Data'!D5</f>
        <v>406</v>
      </c>
      <c r="C6" s="30" t="n">
        <f aca="false">'Raw Data'!E5</f>
        <v>456</v>
      </c>
      <c r="D6" s="30" t="n">
        <f aca="false">'Raw Data'!F5</f>
        <v>602</v>
      </c>
      <c r="E6" s="30" t="n">
        <f aca="false">'Raw Data'!G5</f>
        <v>678</v>
      </c>
      <c r="F6" s="31" t="n">
        <f aca="false">E6*(1+Assumptions!C9)</f>
        <v>755.97</v>
      </c>
      <c r="G6" s="31" t="n">
        <f aca="false">F6*(1+Assumptions!D9)</f>
        <v>835.34685</v>
      </c>
      <c r="H6" s="31" t="n">
        <f aca="false">G6*(1+Assumptions!E9)</f>
        <v>914.70480075</v>
      </c>
    </row>
    <row r="7" customFormat="false" ht="15.75" hidden="false" customHeight="true" outlineLevel="0" collapsed="false">
      <c r="A7" s="29" t="s">
        <v>85</v>
      </c>
      <c r="B7" s="30" t="n">
        <f aca="false">'Raw Data'!D6</f>
        <v>180</v>
      </c>
      <c r="C7" s="30" t="n">
        <f aca="false">'Raw Data'!E6</f>
        <v>205</v>
      </c>
      <c r="D7" s="30" t="n">
        <f aca="false">'Raw Data'!F6</f>
        <v>236</v>
      </c>
      <c r="E7" s="30" t="n">
        <f aca="false">'Raw Data'!G6</f>
        <v>263</v>
      </c>
      <c r="F7" s="31" t="n">
        <f aca="false">E6*Assumptions!C10</f>
        <v>265.776</v>
      </c>
      <c r="G7" s="31" t="n">
        <f aca="false">F6*Assumptions!D10</f>
        <v>298.60815</v>
      </c>
      <c r="H7" s="31" t="n">
        <f aca="false">G6*Assumptions!E10</f>
        <v>334.13874</v>
      </c>
    </row>
    <row r="8" customFormat="false" ht="15.75" hidden="false" customHeight="true" outlineLevel="0" collapsed="false">
      <c r="A8" s="29" t="s">
        <v>69</v>
      </c>
      <c r="B8" s="32" t="n">
        <f aca="false">B7/B6</f>
        <v>0.443349753694581</v>
      </c>
      <c r="C8" s="32" t="n">
        <f aca="false">C7/C6</f>
        <v>0.449561403508772</v>
      </c>
      <c r="D8" s="32" t="n">
        <f aca="false">D7/D6</f>
        <v>0.39202657807309</v>
      </c>
      <c r="E8" s="32" t="n">
        <f aca="false">E7/E6</f>
        <v>0.387905604719764</v>
      </c>
      <c r="F8" s="33" t="n">
        <f aca="false">F7/F6</f>
        <v>0.351569506726457</v>
      </c>
      <c r="G8" s="33" t="n">
        <f aca="false">G7/G6</f>
        <v>0.357466063348416</v>
      </c>
      <c r="H8" s="33" t="n">
        <f aca="false">H7/H6</f>
        <v>0.365296803652968</v>
      </c>
    </row>
    <row r="9" customFormat="false" ht="15.75" hidden="false" customHeight="true" outlineLevel="0" collapsed="false">
      <c r="A9" s="29" t="s">
        <v>86</v>
      </c>
      <c r="B9" s="30" t="n">
        <f aca="false">B6-B7</f>
        <v>226</v>
      </c>
      <c r="C9" s="30" t="n">
        <f aca="false">C6-C7</f>
        <v>251</v>
      </c>
      <c r="D9" s="30" t="n">
        <f aca="false">D6-D7</f>
        <v>366</v>
      </c>
      <c r="E9" s="30" t="n">
        <f aca="false">E6-E7</f>
        <v>415</v>
      </c>
      <c r="F9" s="31" t="n">
        <f aca="false">F6-F7</f>
        <v>490.194</v>
      </c>
      <c r="G9" s="31" t="n">
        <f aca="false">G6-G7</f>
        <v>536.7387</v>
      </c>
      <c r="H9" s="31" t="n">
        <f aca="false">H6-H7</f>
        <v>580.56606075</v>
      </c>
    </row>
    <row r="11" customFormat="false" ht="15" hidden="false" customHeight="true" outlineLevel="0" collapsed="false">
      <c r="A11" s="23" t="s">
        <v>87</v>
      </c>
      <c r="B11" s="23"/>
      <c r="C11" s="23"/>
      <c r="D11" s="23"/>
      <c r="E11" s="23"/>
      <c r="F11" s="23"/>
      <c r="G11" s="23"/>
      <c r="H11" s="23"/>
    </row>
    <row r="12" customFormat="false" ht="15.75" hidden="false" customHeight="true" outlineLevel="0" collapsed="false">
      <c r="A12" s="29" t="s">
        <v>88</v>
      </c>
      <c r="B12" s="34" t="n">
        <f aca="false">'Raw Data'!D8</f>
        <v>4.42</v>
      </c>
      <c r="C12" s="34" t="n">
        <f aca="false">'Raw Data'!E8</f>
        <v>4.35</v>
      </c>
      <c r="D12" s="34" t="n">
        <f aca="false">'Raw Data'!F8</f>
        <v>4.27</v>
      </c>
      <c r="E12" s="34" t="n">
        <f aca="false">'Raw Data'!G8</f>
        <v>4.5</v>
      </c>
      <c r="F12" s="35" t="n">
        <f aca="false">Assumptions!C13</f>
        <v>4.55</v>
      </c>
      <c r="G12" s="35" t="n">
        <f aca="false">Assumptions!D13</f>
        <v>4.62</v>
      </c>
      <c r="H12" s="35" t="n">
        <f aca="false">Assumptions!E13</f>
        <v>4.7</v>
      </c>
    </row>
    <row r="13" customFormat="false" ht="15.75" hidden="false" customHeight="true" outlineLevel="0" collapsed="false">
      <c r="A13" s="36" t="s">
        <v>89</v>
      </c>
      <c r="B13" s="37" t="n">
        <f aca="false">'Raw Data'!D9</f>
        <v>7135</v>
      </c>
      <c r="C13" s="37" t="n">
        <f aca="false">'Raw Data'!E9</f>
        <v>8463</v>
      </c>
      <c r="D13" s="37" t="n">
        <f aca="false">'Raw Data'!F9</f>
        <v>11566</v>
      </c>
      <c r="E13" s="37" t="n">
        <f aca="false">'Raw Data'!G9</f>
        <v>13573</v>
      </c>
      <c r="F13" s="38" t="n">
        <f aca="false">F7*F12*12</f>
        <v>14511.3696</v>
      </c>
      <c r="G13" s="38" t="n">
        <f aca="false">G7*G12*12</f>
        <v>16554.835836</v>
      </c>
      <c r="H13" s="38" t="n">
        <f aca="false">H7*H12*12</f>
        <v>18845.424936</v>
      </c>
    </row>
    <row r="15" customFormat="false" ht="1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3"/>
    </row>
    <row r="16" customFormat="false" ht="15.75" hidden="false" customHeight="true" outlineLevel="0" collapsed="false">
      <c r="A16" s="29" t="s">
        <v>75</v>
      </c>
      <c r="B16" s="34" t="n">
        <f aca="false">'Raw Data'!D11</f>
        <v>5.34513274336283</v>
      </c>
      <c r="C16" s="34" t="n">
        <f aca="false">'Raw Data'!E11</f>
        <v>5.86454183266932</v>
      </c>
      <c r="D16" s="34" t="n">
        <f aca="false">'Raw Data'!F11</f>
        <v>4.58743169398907</v>
      </c>
      <c r="E16" s="34" t="n">
        <f aca="false">'Raw Data'!G11</f>
        <v>4.63132530120482</v>
      </c>
      <c r="F16" s="35" t="n">
        <f aca="false">Assumptions!C17</f>
        <v>3.2</v>
      </c>
      <c r="G16" s="35" t="n">
        <f aca="false">Assumptions!D17</f>
        <v>3.35</v>
      </c>
      <c r="H16" s="35" t="n">
        <f aca="false">Assumptions!E17</f>
        <v>3.5</v>
      </c>
    </row>
    <row r="17" customFormat="false" ht="15.75" hidden="false" customHeight="true" outlineLevel="0" collapsed="false">
      <c r="A17" s="36" t="s">
        <v>91</v>
      </c>
      <c r="B17" s="37" t="n">
        <f aca="false">'Raw Data'!D12</f>
        <v>1208</v>
      </c>
      <c r="C17" s="37" t="n">
        <f aca="false">'Raw Data'!E12</f>
        <v>1472</v>
      </c>
      <c r="D17" s="37" t="n">
        <f aca="false">'Raw Data'!F12</f>
        <v>1679</v>
      </c>
      <c r="E17" s="37" t="n">
        <f aca="false">'Raw Data'!G12</f>
        <v>1922</v>
      </c>
      <c r="F17" s="38" t="n">
        <f aca="false">F9*F16</f>
        <v>1568.6208</v>
      </c>
      <c r="G17" s="38" t="n">
        <f aca="false">G9*G16</f>
        <v>1798.074645</v>
      </c>
      <c r="H17" s="38" t="n">
        <f aca="false">H9*H16</f>
        <v>2031.981212625</v>
      </c>
    </row>
    <row r="19" customFormat="false" ht="15" hidden="false" customHeight="true" outlineLevel="0" collapsed="false">
      <c r="A19" s="23" t="s">
        <v>92</v>
      </c>
      <c r="B19" s="23"/>
      <c r="C19" s="23"/>
      <c r="D19" s="23"/>
      <c r="E19" s="23"/>
      <c r="F19" s="23"/>
      <c r="G19" s="23"/>
      <c r="H19" s="23"/>
    </row>
    <row r="20" customFormat="false" ht="15.75" hidden="false" customHeight="true" outlineLevel="0" collapsed="false">
      <c r="A20" s="39" t="s">
        <v>93</v>
      </c>
      <c r="B20" s="37" t="n">
        <f aca="false">B13+B17</f>
        <v>8343</v>
      </c>
      <c r="C20" s="37" t="n">
        <f aca="false">C13+C17</f>
        <v>9935</v>
      </c>
      <c r="D20" s="37" t="n">
        <f aca="false">D13+D17</f>
        <v>13245</v>
      </c>
      <c r="E20" s="37" t="n">
        <f aca="false">E13+E17</f>
        <v>15495</v>
      </c>
      <c r="F20" s="38" t="n">
        <f aca="false">F13+F17</f>
        <v>16079.9904</v>
      </c>
      <c r="G20" s="38" t="n">
        <f aca="false">G13+G17</f>
        <v>18352.910481</v>
      </c>
      <c r="H20" s="38" t="n">
        <f aca="false">H13+H17</f>
        <v>20877.406148625</v>
      </c>
    </row>
    <row r="21" customFormat="false" ht="15.75" hidden="false" customHeight="true" outlineLevel="0" collapsed="false">
      <c r="A21" s="29" t="s">
        <v>94</v>
      </c>
      <c r="B21" s="33" t="s">
        <v>95</v>
      </c>
      <c r="C21" s="32" t="n">
        <f aca="false">(C20-B20)/B20</f>
        <v>0.190818650365576</v>
      </c>
      <c r="D21" s="32" t="n">
        <f aca="false">(D20-C20)/C20</f>
        <v>0.333165576245596</v>
      </c>
      <c r="E21" s="32" t="n">
        <f aca="false">(E20-D20)/D20</f>
        <v>0.169875424688562</v>
      </c>
      <c r="F21" s="33" t="n">
        <f aca="false">(F20-E20)/E20</f>
        <v>0.0377534946757019</v>
      </c>
      <c r="G21" s="33" t="n">
        <f aca="false">(G20-F20)/F20</f>
        <v>0.141350835694529</v>
      </c>
      <c r="H21" s="33" t="n">
        <f aca="false">(H20-G20)/G20</f>
        <v>0.137552878615002</v>
      </c>
    </row>
    <row r="22" customFormat="false" ht="15.75" hidden="false" customHeight="true" outlineLevel="0" collapsed="false">
      <c r="A22" s="29" t="s">
        <v>96</v>
      </c>
      <c r="B22" s="32" t="n">
        <f aca="false">B13/B20</f>
        <v>0.855207958767829</v>
      </c>
      <c r="C22" s="32" t="n">
        <f aca="false">C13/C20</f>
        <v>0.85183694011072</v>
      </c>
      <c r="D22" s="32" t="n">
        <f aca="false">D13/D20</f>
        <v>0.873235183087958</v>
      </c>
      <c r="E22" s="32" t="n">
        <f aca="false">E13/E20</f>
        <v>0.875959987092611</v>
      </c>
      <c r="F22" s="33" t="n">
        <f aca="false">F13/F20</f>
        <v>0.902448896984416</v>
      </c>
      <c r="G22" s="33" t="n">
        <f aca="false">G13/G20</f>
        <v>0.902027820227126</v>
      </c>
      <c r="H22" s="33" t="n">
        <f aca="false">H13/H20</f>
        <v>0.902670801240372</v>
      </c>
    </row>
    <row r="23" customFormat="false" ht="15.75" hidden="false" customHeight="true" outlineLevel="0" collapsed="false">
      <c r="A23" s="29" t="s">
        <v>97</v>
      </c>
      <c r="B23" s="32" t="n">
        <f aca="false">B17/B20</f>
        <v>0.144792041232171</v>
      </c>
      <c r="C23" s="32" t="n">
        <f aca="false">C17/C20</f>
        <v>0.14816305988928</v>
      </c>
      <c r="D23" s="32" t="n">
        <f aca="false">D17/D20</f>
        <v>0.126764816912042</v>
      </c>
      <c r="E23" s="32" t="n">
        <f aca="false">E17/E20</f>
        <v>0.124040012907389</v>
      </c>
      <c r="F23" s="33" t="n">
        <f aca="false">F17/F20</f>
        <v>0.0975511030155839</v>
      </c>
      <c r="G23" s="33" t="n">
        <f aca="false">G17/G20</f>
        <v>0.0979721797728742</v>
      </c>
      <c r="H23" s="33" t="n">
        <f aca="false">H17/H20</f>
        <v>0.0973291987596279</v>
      </c>
    </row>
    <row r="25" customFormat="false" ht="15.75" hidden="false" customHeight="true" outlineLevel="0" collapsed="false">
      <c r="A25" s="29" t="s">
        <v>98</v>
      </c>
      <c r="B25" s="40" t="n">
        <f aca="false">'Raw Data'!D14</f>
        <v>2336</v>
      </c>
      <c r="C25" s="40" t="n">
        <f aca="false">'Raw Data'!E14</f>
        <v>2699</v>
      </c>
      <c r="D25" s="40" t="n">
        <f aca="false">'Raw Data'!F14</f>
        <v>3038</v>
      </c>
      <c r="E25" s="40" t="n">
        <f aca="false">'Raw Data'!G14</f>
        <v>3781</v>
      </c>
      <c r="F25" s="41" t="n">
        <f aca="false">F20*Assumptions!C21</f>
        <v>4582.797264</v>
      </c>
      <c r="G25" s="41" t="n">
        <f aca="false">G20*Assumptions!D21</f>
        <v>5505.8731443</v>
      </c>
      <c r="H25" s="41" t="n">
        <f aca="false">H20*Assumptions!E21</f>
        <v>6576.38293681688</v>
      </c>
    </row>
    <row r="26" customFormat="false" ht="15.75" hidden="false" customHeight="true" outlineLevel="0" collapsed="false">
      <c r="A26" s="29" t="s">
        <v>51</v>
      </c>
      <c r="B26" s="32" t="n">
        <f aca="false">B25/B20</f>
        <v>0.279995205561549</v>
      </c>
      <c r="C26" s="32" t="n">
        <f aca="false">C25/C20</f>
        <v>0.271665827881228</v>
      </c>
      <c r="D26" s="32" t="n">
        <f aca="false">D25/D20</f>
        <v>0.229369573423934</v>
      </c>
      <c r="E26" s="32" t="n">
        <f aca="false">E25/E20</f>
        <v>0.244014198128429</v>
      </c>
      <c r="F26" s="33" t="n">
        <f aca="false">F25/F20</f>
        <v>0.285</v>
      </c>
      <c r="G26" s="33" t="n">
        <f aca="false">G25/G20</f>
        <v>0.3</v>
      </c>
      <c r="H26" s="33" t="n">
        <f aca="false">H25/H20</f>
        <v>0.315</v>
      </c>
    </row>
    <row r="27" customFormat="false" ht="15.75" hidden="false" customHeight="true" outlineLevel="0" collapsed="false">
      <c r="A27" s="29" t="s">
        <v>99</v>
      </c>
      <c r="B27" s="40" t="n">
        <f aca="false">'Raw Data'!D16</f>
        <v>1208</v>
      </c>
      <c r="C27" s="40" t="n">
        <f aca="false">'Raw Data'!E16</f>
        <v>1471</v>
      </c>
      <c r="D27" s="40" t="n">
        <f aca="false">'Raw Data'!F16</f>
        <v>1490</v>
      </c>
      <c r="E27" s="40" t="n">
        <f aca="false">'Raw Data'!G16</f>
        <v>1622</v>
      </c>
      <c r="F27" s="41" t="n">
        <f aca="false">-F20*Assumptions!C22</f>
        <v>-1768.798944</v>
      </c>
      <c r="G27" s="41" t="n">
        <f aca="false">-G20*Assumptions!D22</f>
        <v>-1927.055600505</v>
      </c>
      <c r="H27" s="41" t="n">
        <f aca="false">-H20*Assumptions!E22</f>
        <v>-2087.7406148625</v>
      </c>
    </row>
    <row r="28" customFormat="false" ht="15.75" hidden="false" customHeight="true" outlineLevel="0" collapsed="false">
      <c r="A28" s="29" t="s">
        <v>100</v>
      </c>
      <c r="B28" s="40" t="n">
        <f aca="false">'Raw Data'!D17</f>
        <v>1093</v>
      </c>
      <c r="C28" s="40" t="n">
        <f aca="false">'Raw Data'!E17</f>
        <v>1291</v>
      </c>
      <c r="D28" s="40" t="n">
        <f aca="false">'Raw Data'!F17</f>
        <v>1158</v>
      </c>
      <c r="E28" s="40" t="n">
        <f aca="false">'Raw Data'!G17</f>
        <v>1116</v>
      </c>
      <c r="F28" s="41" t="n">
        <f aca="false">-F20*Assumptions!C23</f>
        <v>-1205.99928</v>
      </c>
      <c r="G28" s="41" t="n">
        <f aca="false">-G20*Assumptions!D23</f>
        <v>-1284.70373367</v>
      </c>
      <c r="H28" s="41" t="n">
        <f aca="false">-H20*Assumptions!E23</f>
        <v>-1357.03139966063</v>
      </c>
    </row>
    <row r="29" customFormat="false" ht="15.75" hidden="false" customHeight="true" outlineLevel="0" collapsed="false">
      <c r="A29" s="29" t="s">
        <v>101</v>
      </c>
      <c r="B29" s="40" t="n">
        <f aca="false">'Raw Data'!D18</f>
        <v>396</v>
      </c>
      <c r="C29" s="40" t="n">
        <f aca="false">'Raw Data'!E18</f>
        <v>577</v>
      </c>
      <c r="D29" s="40" t="n">
        <f aca="false">'Raw Data'!F18</f>
        <v>576</v>
      </c>
      <c r="E29" s="40" t="n">
        <f aca="false">'Raw Data'!G18</f>
        <v>546</v>
      </c>
      <c r="F29" s="41" t="n">
        <f aca="false">-F20*Assumptions!C24</f>
        <v>-611.0396352</v>
      </c>
      <c r="G29" s="41" t="n">
        <f aca="false">-G20*Assumptions!D24</f>
        <v>-642.351866835</v>
      </c>
      <c r="H29" s="41" t="n">
        <f aca="false">-H20*Assumptions!E24</f>
        <v>-688.954402904625</v>
      </c>
    </row>
    <row r="30" customFormat="false" ht="15.75" hidden="false" customHeight="true" outlineLevel="0" collapsed="false">
      <c r="A30" s="39" t="s">
        <v>102</v>
      </c>
      <c r="B30" s="37" t="n">
        <f aca="false">B25+B27+B28+B29</f>
        <v>5033</v>
      </c>
      <c r="C30" s="37" t="n">
        <f aca="false">C25+C27+C28+C29</f>
        <v>6038</v>
      </c>
      <c r="D30" s="37" t="n">
        <f aca="false">D25+D27+D28+D29</f>
        <v>6262</v>
      </c>
      <c r="E30" s="37" t="n">
        <f aca="false">E25+E27+E28+E29</f>
        <v>7065</v>
      </c>
      <c r="F30" s="38" t="n">
        <f aca="false">F25+F27+F28+F29</f>
        <v>996.9594048</v>
      </c>
      <c r="G30" s="38" t="n">
        <f aca="false">G25+G27+G28+G29</f>
        <v>1651.76194329</v>
      </c>
      <c r="H30" s="38" t="n">
        <f aca="false">H25+H27+H28+H29</f>
        <v>2442.65651938913</v>
      </c>
    </row>
    <row r="31" customFormat="false" ht="15.75" hidden="false" customHeight="true" outlineLevel="0" collapsed="false">
      <c r="A31" s="29" t="s">
        <v>57</v>
      </c>
      <c r="B31" s="32" t="n">
        <f aca="false">B30/B20</f>
        <v>0.60326021814695</v>
      </c>
      <c r="C31" s="32" t="n">
        <f aca="false">C30/C20</f>
        <v>0.607750377453447</v>
      </c>
      <c r="D31" s="32" t="n">
        <f aca="false">D30/D20</f>
        <v>0.472782181955455</v>
      </c>
      <c r="E31" s="32" t="n">
        <f aca="false">E30/E20</f>
        <v>0.45595353339787</v>
      </c>
      <c r="F31" s="33" t="n">
        <f aca="false">F30/F20</f>
        <v>0.062</v>
      </c>
      <c r="G31" s="33" t="n">
        <f aca="false">G30/G20</f>
        <v>0.09</v>
      </c>
      <c r="H31" s="33" t="n">
        <f aca="false">H30/H20</f>
        <v>0.117</v>
      </c>
    </row>
  </sheetData>
  <mergeCells count="5">
    <mergeCell ref="A1:H1"/>
    <mergeCell ref="A5:H5"/>
    <mergeCell ref="A11:H11"/>
    <mergeCell ref="A15:H15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4"/>
  </cols>
  <sheetData>
    <row r="1" customFormat="false" ht="15.75" hidden="false" customHeight="true" outlineLevel="0" collapsed="false">
      <c r="A1" s="27" t="s">
        <v>103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5" hidden="false" customHeight="true" outlineLevel="0" collapsed="false">
      <c r="A2" s="19" t="s">
        <v>104</v>
      </c>
      <c r="B2" s="19"/>
      <c r="C2" s="19"/>
      <c r="D2" s="19"/>
      <c r="E2" s="19"/>
      <c r="F2" s="19"/>
      <c r="G2" s="19"/>
      <c r="H2" s="19"/>
      <c r="I2" s="19"/>
      <c r="J2" s="19"/>
    </row>
    <row r="4" customFormat="false" ht="15" hidden="false" customHeight="true" outlineLevel="0" collapsed="false">
      <c r="A4" s="42" t="s">
        <v>25</v>
      </c>
      <c r="B4" s="43" t="s">
        <v>105</v>
      </c>
      <c r="C4" s="43" t="s">
        <v>106</v>
      </c>
      <c r="D4" s="43" t="s">
        <v>107</v>
      </c>
      <c r="E4" s="44" t="s">
        <v>108</v>
      </c>
      <c r="F4" s="44" t="s">
        <v>109</v>
      </c>
      <c r="G4" s="44" t="s">
        <v>110</v>
      </c>
      <c r="H4" s="45" t="s">
        <v>111</v>
      </c>
      <c r="I4" s="45" t="s">
        <v>112</v>
      </c>
      <c r="J4" s="45" t="s">
        <v>113</v>
      </c>
    </row>
    <row r="6" customFormat="false" ht="15" hidden="false" customHeight="true" outlineLevel="0" collapsed="false">
      <c r="A6" s="6" t="s">
        <v>114</v>
      </c>
      <c r="B6" s="46" t="n">
        <v>732</v>
      </c>
      <c r="C6" s="46" t="n">
        <v>783</v>
      </c>
      <c r="D6" s="46" t="n">
        <v>830</v>
      </c>
      <c r="E6" s="47" t="n">
        <v>756</v>
      </c>
      <c r="F6" s="47" t="n">
        <v>834</v>
      </c>
      <c r="G6" s="47" t="n">
        <v>913</v>
      </c>
      <c r="H6" s="48" t="n">
        <v>771</v>
      </c>
      <c r="I6" s="48" t="n">
        <v>871</v>
      </c>
      <c r="J6" s="48" t="n">
        <v>976</v>
      </c>
    </row>
    <row r="7" customFormat="false" ht="15" hidden="false" customHeight="true" outlineLevel="0" collapsed="false">
      <c r="A7" s="6" t="s">
        <v>85</v>
      </c>
      <c r="B7" s="46" t="n">
        <v>275</v>
      </c>
      <c r="C7" s="46" t="n">
        <v>290</v>
      </c>
      <c r="D7" s="46" t="n">
        <v>303</v>
      </c>
      <c r="E7" s="47" t="n">
        <v>297</v>
      </c>
      <c r="F7" s="47" t="n">
        <v>330</v>
      </c>
      <c r="G7" s="47" t="n">
        <v>365</v>
      </c>
      <c r="H7" s="48" t="n">
        <v>312</v>
      </c>
      <c r="I7" s="48" t="n">
        <v>362</v>
      </c>
      <c r="J7" s="48" t="n">
        <v>415</v>
      </c>
    </row>
    <row r="8" customFormat="false" ht="15" hidden="false" customHeight="true" outlineLevel="0" collapsed="false">
      <c r="A8" s="6" t="s">
        <v>89</v>
      </c>
      <c r="B8" s="46" t="n">
        <v>14540</v>
      </c>
      <c r="C8" s="46" t="n">
        <v>15225</v>
      </c>
      <c r="D8" s="46" t="n">
        <v>15665</v>
      </c>
      <c r="E8" s="47" t="n">
        <v>16215</v>
      </c>
      <c r="F8" s="47" t="n">
        <v>18330</v>
      </c>
      <c r="G8" s="47" t="n">
        <v>20625</v>
      </c>
      <c r="H8" s="48" t="n">
        <v>17432</v>
      </c>
      <c r="I8" s="48" t="n">
        <v>20884</v>
      </c>
      <c r="J8" s="48" t="n">
        <v>25047</v>
      </c>
    </row>
    <row r="9" customFormat="false" ht="15" hidden="false" customHeight="true" outlineLevel="0" collapsed="false">
      <c r="A9" s="6" t="s">
        <v>115</v>
      </c>
      <c r="B9" s="46" t="n">
        <v>1335</v>
      </c>
      <c r="C9" s="46" t="n">
        <v>1389</v>
      </c>
      <c r="D9" s="46" t="n">
        <v>1422</v>
      </c>
      <c r="E9" s="47" t="n">
        <v>1468</v>
      </c>
      <c r="F9" s="47" t="n">
        <v>1609</v>
      </c>
      <c r="G9" s="47" t="n">
        <v>1802</v>
      </c>
      <c r="H9" s="48" t="n">
        <v>1617</v>
      </c>
      <c r="I9" s="48" t="n">
        <v>1890</v>
      </c>
      <c r="J9" s="48" t="n">
        <v>2254</v>
      </c>
    </row>
    <row r="10" customFormat="false" ht="15" hidden="false" customHeight="true" outlineLevel="0" collapsed="false">
      <c r="A10" s="6" t="s">
        <v>93</v>
      </c>
      <c r="B10" s="46" t="n">
        <v>15875</v>
      </c>
      <c r="C10" s="46" t="n">
        <v>16614</v>
      </c>
      <c r="D10" s="46" t="n">
        <v>17087</v>
      </c>
      <c r="E10" s="47" t="n">
        <v>17683</v>
      </c>
      <c r="F10" s="47" t="n">
        <v>19939</v>
      </c>
      <c r="G10" s="47" t="n">
        <v>22427</v>
      </c>
      <c r="H10" s="48" t="n">
        <v>19049</v>
      </c>
      <c r="I10" s="48" t="n">
        <v>22774</v>
      </c>
      <c r="J10" s="48" t="n">
        <v>27301</v>
      </c>
    </row>
    <row r="11" customFormat="false" ht="15" hidden="false" customHeight="true" outlineLevel="0" collapsed="false">
      <c r="A11" s="6" t="s">
        <v>51</v>
      </c>
      <c r="B11" s="49" t="n">
        <v>0.265</v>
      </c>
      <c r="C11" s="49" t="n">
        <v>0.27</v>
      </c>
      <c r="D11" s="49" t="n">
        <v>0.275</v>
      </c>
      <c r="E11" s="50" t="n">
        <v>0.285</v>
      </c>
      <c r="F11" s="50" t="n">
        <v>0.3</v>
      </c>
      <c r="G11" s="50" t="n">
        <v>0.315</v>
      </c>
      <c r="H11" s="51" t="n">
        <v>0.31</v>
      </c>
      <c r="I11" s="51" t="n">
        <v>0.33</v>
      </c>
      <c r="J11" s="51" t="n">
        <v>0.35</v>
      </c>
    </row>
    <row r="12" customFormat="false" ht="15" hidden="false" customHeight="true" outlineLevel="0" collapsed="false">
      <c r="A12" s="6" t="s">
        <v>102</v>
      </c>
      <c r="B12" s="46" t="n">
        <v>-420</v>
      </c>
      <c r="C12" s="46" t="n">
        <v>-330</v>
      </c>
      <c r="D12" s="46" t="n">
        <v>-210</v>
      </c>
      <c r="E12" s="47" t="n">
        <v>890</v>
      </c>
      <c r="F12" s="47" t="n">
        <v>1492</v>
      </c>
      <c r="G12" s="47" t="n">
        <v>2243</v>
      </c>
      <c r="H12" s="48" t="n">
        <v>1904</v>
      </c>
      <c r="I12" s="48" t="n">
        <v>3128</v>
      </c>
      <c r="J12" s="48" t="n">
        <v>5460</v>
      </c>
    </row>
    <row r="13" customFormat="false" ht="15" hidden="false" customHeight="true" outlineLevel="0" collapsed="false">
      <c r="A13" s="6" t="s">
        <v>57</v>
      </c>
      <c r="B13" s="49" t="n">
        <v>-0.026</v>
      </c>
      <c r="C13" s="49" t="n">
        <v>-0.02</v>
      </c>
      <c r="D13" s="49" t="n">
        <v>-0.012</v>
      </c>
      <c r="E13" s="50" t="n">
        <v>0.05</v>
      </c>
      <c r="F13" s="50" t="n">
        <v>0.075</v>
      </c>
      <c r="G13" s="50" t="n">
        <v>0.1</v>
      </c>
      <c r="H13" s="51" t="n">
        <v>0.1</v>
      </c>
      <c r="I13" s="51" t="n">
        <v>0.137</v>
      </c>
      <c r="J13" s="51" t="n">
        <v>0.2</v>
      </c>
    </row>
    <row r="14" customFormat="false" ht="15" hidden="false" customHeight="true" outlineLevel="0" collapsed="false">
      <c r="A14" s="6" t="s">
        <v>116</v>
      </c>
      <c r="B14" s="49" t="n">
        <v>0.012</v>
      </c>
      <c r="C14" s="49" t="n">
        <v>0.047</v>
      </c>
      <c r="D14" s="49" t="n">
        <v>0.029</v>
      </c>
      <c r="E14" s="50" t="n">
        <v>0.128</v>
      </c>
      <c r="F14" s="50" t="n">
        <v>0.128</v>
      </c>
      <c r="G14" s="50" t="n">
        <v>0.125</v>
      </c>
      <c r="H14" s="51" t="n">
        <v>0.215</v>
      </c>
      <c r="I14" s="51" t="n">
        <v>0.195</v>
      </c>
      <c r="J14" s="51" t="n">
        <v>0.199</v>
      </c>
    </row>
    <row r="20" customFormat="false" ht="15" hidden="false" customHeight="true" outlineLevel="0" collapsed="false">
      <c r="A20" s="52" t="s">
        <v>117</v>
      </c>
      <c r="B20" s="52"/>
      <c r="C20" s="52"/>
      <c r="D20" s="52"/>
      <c r="E20" s="52"/>
      <c r="F20" s="52"/>
      <c r="G20" s="52"/>
      <c r="H20" s="52"/>
      <c r="I20" s="52"/>
      <c r="J20" s="52"/>
    </row>
    <row r="21" customFormat="false" ht="15" hidden="false" customHeight="true" outlineLevel="0" collapsed="false">
      <c r="A21" s="19" t="s">
        <v>118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5" hidden="false" customHeight="true" outlineLevel="0" collapsed="false">
      <c r="A22" s="53" t="s">
        <v>119</v>
      </c>
      <c r="B22" s="54" t="n">
        <v>0.06</v>
      </c>
      <c r="C22" s="54" t="n">
        <v>0.08</v>
      </c>
      <c r="D22" s="54" t="n">
        <v>0.1</v>
      </c>
      <c r="E22" s="54" t="n">
        <v>0.12</v>
      </c>
      <c r="F22" s="54" t="n">
        <v>0.14</v>
      </c>
      <c r="G22" s="54" t="n">
        <v>0.16</v>
      </c>
    </row>
    <row r="23" customFormat="false" ht="15" hidden="false" customHeight="true" outlineLevel="0" collapsed="false">
      <c r="A23" s="55" t="n">
        <v>0.26</v>
      </c>
      <c r="B23" s="56" t="n">
        <v>1235</v>
      </c>
      <c r="C23" s="56" t="n">
        <v>1306</v>
      </c>
      <c r="D23" s="56" t="n">
        <v>1380</v>
      </c>
      <c r="E23" s="56" t="n">
        <v>1456</v>
      </c>
      <c r="F23" s="57" t="n">
        <v>1536</v>
      </c>
      <c r="G23" s="57" t="n">
        <v>1618</v>
      </c>
    </row>
    <row r="24" customFormat="false" ht="15" hidden="false" customHeight="true" outlineLevel="0" collapsed="false">
      <c r="A24" s="55" t="n">
        <v>0.275</v>
      </c>
      <c r="B24" s="57" t="n">
        <v>1533</v>
      </c>
      <c r="C24" s="57" t="n">
        <v>1622</v>
      </c>
      <c r="D24" s="57" t="n">
        <v>1714</v>
      </c>
      <c r="E24" s="57" t="n">
        <v>1809</v>
      </c>
      <c r="F24" s="57" t="n">
        <v>1907</v>
      </c>
      <c r="G24" s="57" t="n">
        <v>2009</v>
      </c>
    </row>
    <row r="25" customFormat="false" ht="15" hidden="false" customHeight="true" outlineLevel="0" collapsed="false">
      <c r="A25" s="55" t="n">
        <v>0.29</v>
      </c>
      <c r="B25" s="57" t="n">
        <v>1832</v>
      </c>
      <c r="C25" s="57" t="n">
        <v>1938</v>
      </c>
      <c r="D25" s="57" t="n">
        <v>2047</v>
      </c>
      <c r="E25" s="57" t="n">
        <v>2161</v>
      </c>
      <c r="F25" s="57" t="n">
        <v>2279</v>
      </c>
      <c r="G25" s="57" t="n">
        <v>2401</v>
      </c>
    </row>
    <row r="26" customFormat="false" ht="15" hidden="false" customHeight="true" outlineLevel="0" collapsed="false">
      <c r="A26" s="55" t="n">
        <v>0.305</v>
      </c>
      <c r="B26" s="57" t="n">
        <v>2131</v>
      </c>
      <c r="C26" s="57" t="n">
        <v>2254</v>
      </c>
      <c r="D26" s="57" t="n">
        <v>2381</v>
      </c>
      <c r="E26" s="57" t="n">
        <v>2513</v>
      </c>
      <c r="F26" s="57" t="n">
        <v>2650</v>
      </c>
      <c r="G26" s="57" t="n">
        <v>2792</v>
      </c>
    </row>
    <row r="27" customFormat="false" ht="15" hidden="false" customHeight="true" outlineLevel="0" collapsed="false">
      <c r="A27" s="55" t="n">
        <v>0.32</v>
      </c>
      <c r="B27" s="57" t="n">
        <v>2429</v>
      </c>
      <c r="C27" s="57" t="n">
        <v>2570</v>
      </c>
      <c r="D27" s="57" t="n">
        <v>2715</v>
      </c>
      <c r="E27" s="57" t="n">
        <v>2866</v>
      </c>
      <c r="F27" s="58" t="n">
        <v>3022</v>
      </c>
      <c r="G27" s="58" t="n">
        <v>3184</v>
      </c>
    </row>
    <row r="28" customFormat="false" ht="15" hidden="false" customHeight="true" outlineLevel="0" collapsed="false">
      <c r="A28" s="55" t="n">
        <v>0.335</v>
      </c>
      <c r="B28" s="57" t="n">
        <v>2728</v>
      </c>
      <c r="C28" s="57" t="n">
        <v>2885</v>
      </c>
      <c r="D28" s="58" t="n">
        <v>3049</v>
      </c>
      <c r="E28" s="58" t="n">
        <v>3218</v>
      </c>
      <c r="F28" s="58" t="n">
        <v>3394</v>
      </c>
      <c r="G28" s="58" t="n">
        <v>3575</v>
      </c>
    </row>
  </sheetData>
  <mergeCells count="4">
    <mergeCell ref="A1:J1"/>
    <mergeCell ref="A2:J2"/>
    <mergeCell ref="A20:J20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7" t="s">
        <v>120</v>
      </c>
      <c r="B1" s="27"/>
      <c r="C1" s="27"/>
      <c r="D1" s="27"/>
      <c r="E1" s="27"/>
      <c r="F1" s="27"/>
      <c r="G1" s="27"/>
      <c r="H1" s="27"/>
      <c r="I1" s="27"/>
    </row>
    <row r="2" customFormat="false" ht="15" hidden="false" customHeight="true" outlineLevel="0" collapsed="false">
      <c r="A2" s="19" t="s">
        <v>121</v>
      </c>
      <c r="B2" s="19"/>
      <c r="C2" s="19"/>
      <c r="D2" s="19"/>
      <c r="E2" s="19"/>
      <c r="F2" s="19"/>
      <c r="G2" s="19"/>
      <c r="H2" s="19"/>
      <c r="I2" s="19"/>
    </row>
    <row r="4" customFormat="false" ht="15" hidden="false" customHeight="true" outlineLevel="0" collapsed="false">
      <c r="A4" s="12" t="s">
        <v>122</v>
      </c>
      <c r="B4" s="12" t="s">
        <v>41</v>
      </c>
      <c r="C4" s="12" t="s">
        <v>123</v>
      </c>
      <c r="D4" s="12" t="s">
        <v>49</v>
      </c>
    </row>
    <row r="5" customFormat="false" ht="15" hidden="false" customHeight="true" outlineLevel="0" collapsed="false">
      <c r="A5" s="6" t="s">
        <v>28</v>
      </c>
      <c r="B5" s="59" t="n">
        <f aca="false">'Income Statement'!B13</f>
        <v>7135</v>
      </c>
      <c r="C5" s="59" t="n">
        <f aca="false">'Income Statement'!B17</f>
        <v>1208</v>
      </c>
      <c r="D5" s="59" t="n">
        <f aca="false">'Income Statement'!B20</f>
        <v>8343</v>
      </c>
    </row>
    <row r="6" customFormat="false" ht="15" hidden="false" customHeight="true" outlineLevel="0" collapsed="false">
      <c r="A6" s="6" t="s">
        <v>29</v>
      </c>
      <c r="B6" s="59" t="n">
        <f aca="false">'Income Statement'!C13</f>
        <v>8463</v>
      </c>
      <c r="C6" s="59" t="n">
        <f aca="false">'Income Statement'!C17</f>
        <v>1472</v>
      </c>
      <c r="D6" s="59" t="n">
        <f aca="false">'Income Statement'!C20</f>
        <v>9935</v>
      </c>
    </row>
    <row r="7" customFormat="false" ht="15" hidden="false" customHeight="true" outlineLevel="0" collapsed="false">
      <c r="A7" s="6" t="s">
        <v>30</v>
      </c>
      <c r="B7" s="59" t="n">
        <f aca="false">'Income Statement'!D13</f>
        <v>11566</v>
      </c>
      <c r="C7" s="59" t="n">
        <f aca="false">'Income Statement'!D17</f>
        <v>1679</v>
      </c>
      <c r="D7" s="59" t="n">
        <f aca="false">'Income Statement'!D20</f>
        <v>13245</v>
      </c>
    </row>
    <row r="8" customFormat="false" ht="15" hidden="false" customHeight="true" outlineLevel="0" collapsed="false">
      <c r="A8" s="6" t="s">
        <v>31</v>
      </c>
      <c r="B8" s="59" t="n">
        <f aca="false">'Income Statement'!E13</f>
        <v>13573</v>
      </c>
      <c r="C8" s="59" t="n">
        <f aca="false">'Income Statement'!E17</f>
        <v>1922</v>
      </c>
      <c r="D8" s="59" t="n">
        <f aca="false">'Income Statement'!E20</f>
        <v>15495</v>
      </c>
    </row>
    <row r="9" customFormat="false" ht="15" hidden="false" customHeight="true" outlineLevel="0" collapsed="false">
      <c r="A9" s="6" t="s">
        <v>64</v>
      </c>
      <c r="B9" s="59" t="n">
        <f aca="false">'Income Statement'!F13</f>
        <v>14511.3696</v>
      </c>
      <c r="C9" s="59" t="n">
        <f aca="false">'Income Statement'!F17</f>
        <v>1568.6208</v>
      </c>
      <c r="D9" s="59" t="n">
        <f aca="false">'Income Statement'!F20</f>
        <v>16079.9904</v>
      </c>
    </row>
    <row r="10" customFormat="false" ht="15" hidden="false" customHeight="true" outlineLevel="0" collapsed="false">
      <c r="A10" s="6" t="s">
        <v>65</v>
      </c>
      <c r="B10" s="59" t="n">
        <f aca="false">'Income Statement'!G13</f>
        <v>16554.835836</v>
      </c>
      <c r="C10" s="59" t="n">
        <f aca="false">'Income Statement'!G17</f>
        <v>1798.074645</v>
      </c>
      <c r="D10" s="59" t="n">
        <f aca="false">'Income Statement'!G20</f>
        <v>18352.910481</v>
      </c>
    </row>
    <row r="11" customFormat="false" ht="15" hidden="false" customHeight="true" outlineLevel="0" collapsed="false">
      <c r="A11" s="6" t="s">
        <v>66</v>
      </c>
      <c r="B11" s="59" t="n">
        <f aca="false">'Income Statement'!H13</f>
        <v>18845.424936</v>
      </c>
      <c r="C11" s="59" t="n">
        <f aca="false">'Income Statement'!H17</f>
        <v>2031.981212625</v>
      </c>
      <c r="D11" s="59" t="n">
        <f aca="false">'Income Statement'!H20</f>
        <v>20877.406148625</v>
      </c>
    </row>
    <row r="15" customFormat="false" ht="15" hidden="false" customHeight="true" outlineLevel="0" collapsed="false">
      <c r="A15" s="12" t="s">
        <v>122</v>
      </c>
      <c r="B15" s="12" t="s">
        <v>124</v>
      </c>
      <c r="C15" s="12" t="s">
        <v>125</v>
      </c>
      <c r="D15" s="12" t="s">
        <v>126</v>
      </c>
    </row>
    <row r="16" customFormat="false" ht="15" hidden="false" customHeight="true" outlineLevel="0" collapsed="false">
      <c r="A16" s="6" t="s">
        <v>28</v>
      </c>
      <c r="B16" s="59" t="n">
        <f aca="false">'Income Statement'!B6</f>
        <v>406</v>
      </c>
      <c r="C16" s="59" t="n">
        <f aca="false">'Income Statement'!B7</f>
        <v>180</v>
      </c>
      <c r="D16" s="60" t="n">
        <f aca="false">'Income Statement'!B7/'Income Statement'!B6</f>
        <v>0.443349753694581</v>
      </c>
    </row>
    <row r="17" customFormat="false" ht="15" hidden="false" customHeight="true" outlineLevel="0" collapsed="false">
      <c r="A17" s="6" t="s">
        <v>29</v>
      </c>
      <c r="B17" s="59" t="n">
        <f aca="false">'Income Statement'!C6</f>
        <v>456</v>
      </c>
      <c r="C17" s="59" t="n">
        <f aca="false">'Income Statement'!C7</f>
        <v>205</v>
      </c>
      <c r="D17" s="60" t="n">
        <f aca="false">'Income Statement'!C7/'Income Statement'!C6</f>
        <v>0.449561403508772</v>
      </c>
    </row>
    <row r="18" customFormat="false" ht="15" hidden="false" customHeight="true" outlineLevel="0" collapsed="false">
      <c r="A18" s="6" t="s">
        <v>30</v>
      </c>
      <c r="B18" s="59" t="n">
        <f aca="false">'Income Statement'!D6</f>
        <v>602</v>
      </c>
      <c r="C18" s="59" t="n">
        <f aca="false">'Income Statement'!D7</f>
        <v>236</v>
      </c>
      <c r="D18" s="60" t="n">
        <f aca="false">'Income Statement'!D7/'Income Statement'!D6</f>
        <v>0.39202657807309</v>
      </c>
    </row>
    <row r="19" customFormat="false" ht="15" hidden="false" customHeight="true" outlineLevel="0" collapsed="false">
      <c r="A19" s="6" t="s">
        <v>31</v>
      </c>
      <c r="B19" s="59" t="n">
        <f aca="false">'Income Statement'!E6</f>
        <v>678</v>
      </c>
      <c r="C19" s="59" t="n">
        <f aca="false">'Income Statement'!E7</f>
        <v>263</v>
      </c>
      <c r="D19" s="60" t="n">
        <f aca="false">'Income Statement'!E7/'Income Statement'!E6</f>
        <v>0.387905604719764</v>
      </c>
    </row>
    <row r="20" customFormat="false" ht="15" hidden="false" customHeight="true" outlineLevel="0" collapsed="false">
      <c r="A20" s="6" t="s">
        <v>64</v>
      </c>
      <c r="B20" s="59" t="n">
        <f aca="false">'Income Statement'!F6</f>
        <v>755.97</v>
      </c>
      <c r="C20" s="59" t="n">
        <f aca="false">'Income Statement'!F7</f>
        <v>265.776</v>
      </c>
      <c r="D20" s="60" t="n">
        <f aca="false">'Income Statement'!F7/'Income Statement'!F6</f>
        <v>0.351569506726457</v>
      </c>
    </row>
    <row r="21" customFormat="false" ht="15" hidden="false" customHeight="true" outlineLevel="0" collapsed="false">
      <c r="A21" s="6" t="s">
        <v>65</v>
      </c>
      <c r="B21" s="59" t="n">
        <f aca="false">'Income Statement'!G6</f>
        <v>835.34685</v>
      </c>
      <c r="C21" s="59" t="n">
        <f aca="false">'Income Statement'!G7</f>
        <v>298.60815</v>
      </c>
      <c r="D21" s="60" t="n">
        <f aca="false">'Income Statement'!G7/'Income Statement'!G6</f>
        <v>0.357466063348416</v>
      </c>
    </row>
    <row r="22" customFormat="false" ht="15" hidden="false" customHeight="true" outlineLevel="0" collapsed="false">
      <c r="A22" s="6" t="s">
        <v>66</v>
      </c>
      <c r="B22" s="59" t="n">
        <f aca="false">'Income Statement'!H6</f>
        <v>914.70480075</v>
      </c>
      <c r="C22" s="59" t="n">
        <f aca="false">'Income Statement'!H7</f>
        <v>334.13874</v>
      </c>
      <c r="D22" s="60" t="n">
        <f aca="false">'Income Statement'!H7/'Income Statement'!H6</f>
        <v>0.365296803652968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2026-05-19T23:29:05Z</dcterms:created>
  <dc:creator>openpyxl</dc:creator>
  <dc:description/>
  <dc:language>en-US</dc:language>
  <cp:lastModifiedBy/>
  <dcterms:modified xsi:type="dcterms:W3CDTF">2026-05-19T23:29:27Z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